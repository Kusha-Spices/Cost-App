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apple/Documents/Kusha Spices Dec/"/>
    </mc:Choice>
  </mc:AlternateContent>
  <xr:revisionPtr revIDLastSave="0" documentId="13_ncr:1_{51EE79CD-E350-5044-B3C2-4BE665414CC4}" xr6:coauthVersionLast="46" xr6:coauthVersionMax="47" xr10:uidLastSave="{00000000-0000-0000-0000-000000000000}"/>
  <bookViews>
    <workbookView xWindow="0" yWindow="740" windowWidth="30240" windowHeight="18900" activeTab="5" xr2:uid="{00000000-000D-0000-FFFF-FFFF00000000}"/>
  </bookViews>
  <sheets>
    <sheet name="Cost Sheet" sheetId="51" state="hidden" r:id="rId1"/>
    <sheet name="Output Sheet" sheetId="76" r:id="rId2"/>
    <sheet name="Production Cost" sheetId="66" r:id="rId3"/>
    <sheet name="Whole Sale Prices" sheetId="77" r:id="rId4"/>
    <sheet name="Whole Sale Prices 2" sheetId="81" r:id="rId5"/>
    <sheet name="Master Data" sheetId="44" r:id="rId6"/>
    <sheet name="Vendor checklist" sheetId="80" r:id="rId7"/>
    <sheet name="Backend Calculation" sheetId="79" r:id="rId8"/>
    <sheet name="Logic &amp; Weights" sheetId="78" r:id="rId9"/>
    <sheet name="Old Cost" sheetId="71" r:id="rId10"/>
    <sheet name="New Cost" sheetId="73" r:id="rId11"/>
    <sheet name="Loss making products" sheetId="75" r:id="rId12"/>
  </sheets>
  <definedNames>
    <definedName name="_xlnm._FilterDatabase" localSheetId="0" hidden="1">'Cost Sheet'!$A$2:$V$54</definedName>
    <definedName name="_xlnm._FilterDatabase" localSheetId="5" hidden="1">'Master Data'!$A$20:$W$197</definedName>
    <definedName name="_xlnm._FilterDatabase" localSheetId="2" hidden="1">'Production Cost'!$A$2:$Z$79</definedName>
    <definedName name="Delivery_Cost">'Master Data'!$B$142:$B$196</definedName>
    <definedName name="Labour_Cost">'Master Data'!$B$111</definedName>
    <definedName name="Labour_Cost_Working">'Master Data'!$X$109</definedName>
    <definedName name="Maruthi_Plastics_Packing_Material_Cost">'Master Data'!$D$201</definedName>
    <definedName name="Masala_and_Blends_Costings">'Master Data'!$A$551</definedName>
    <definedName name="No._Of_Units_Of_PM_Required_for_Selected_Retail_Packs">'Master Data'!$C$322</definedName>
    <definedName name="Packaging_Cost">'Master Data'!$B$115:$B$139</definedName>
    <definedName name="Raw_Material_Cost">'Master Data'!$B$22:$B$110</definedName>
    <definedName name="Raw_Material_source_costs">'Master Data'!$453:$541</definedName>
    <definedName name="Size_in_grams">'Master Data'!$U$1171:$U$1180</definedName>
    <definedName name="Swiss_Pac_Packing_Material_Cost">'Master Data'!$D$260</definedName>
    <definedName name="Vendor_Transport_Costs">'Master Data'!$433:$447</definedName>
  </definedNames>
  <calcPr calcId="191029"/>
  <extLst>
    <ext uri="GoogleSheetsCustomDataVersion1">
      <go:sheetsCustomData xmlns:go="http://customooxmlschemas.google.com/" r:id="rId23" roundtripDataSignature="AMtx7mgyhSWW/efG2RA5ZlvCinz9irNCbA=="/>
    </ext>
  </extLst>
</workbook>
</file>

<file path=xl/calcChain.xml><?xml version="1.0" encoding="utf-8"?>
<calcChain xmlns="http://schemas.openxmlformats.org/spreadsheetml/2006/main">
  <c r="I22" i="81" l="1"/>
  <c r="J22" i="81" s="1"/>
  <c r="E22" i="81"/>
  <c r="F22" i="81" s="1"/>
  <c r="I21" i="81"/>
  <c r="J21" i="81" s="1"/>
  <c r="E21" i="81"/>
  <c r="F21" i="81" s="1"/>
  <c r="I48" i="81"/>
  <c r="J48" i="81" s="1"/>
  <c r="E48" i="81"/>
  <c r="F48" i="81"/>
  <c r="I34" i="81"/>
  <c r="J34" i="81" s="1"/>
  <c r="I33" i="81"/>
  <c r="E34" i="81"/>
  <c r="F34" i="81" s="1"/>
  <c r="E33" i="81"/>
  <c r="D49" i="66"/>
  <c r="M49" i="66"/>
  <c r="R49" i="66" s="1"/>
  <c r="N49" i="66"/>
  <c r="P49" i="66" s="1"/>
  <c r="O49" i="66"/>
  <c r="T49" i="66"/>
  <c r="U49" i="66"/>
  <c r="V49" i="66"/>
  <c r="W49" i="66"/>
  <c r="M22" i="66"/>
  <c r="R22" i="66" s="1"/>
  <c r="N22" i="66"/>
  <c r="P22" i="66" s="1"/>
  <c r="O22" i="66"/>
  <c r="T22" i="66"/>
  <c r="U22" i="66"/>
  <c r="V22" i="66"/>
  <c r="W22" i="66"/>
  <c r="M23" i="66"/>
  <c r="R23" i="66" s="1"/>
  <c r="N23" i="66"/>
  <c r="P23" i="66" s="1"/>
  <c r="O23" i="66"/>
  <c r="T23" i="66"/>
  <c r="U23" i="66"/>
  <c r="V23" i="66"/>
  <c r="W23" i="66"/>
  <c r="M34" i="66"/>
  <c r="S34" i="66" s="1"/>
  <c r="N34" i="66"/>
  <c r="P34" i="66" s="1"/>
  <c r="O34" i="66"/>
  <c r="T34" i="66"/>
  <c r="U34" i="66"/>
  <c r="V34" i="66"/>
  <c r="W34" i="66"/>
  <c r="M35" i="66"/>
  <c r="R35" i="66" s="1"/>
  <c r="N35" i="66"/>
  <c r="P35" i="66" s="1"/>
  <c r="O35" i="66"/>
  <c r="T35" i="66"/>
  <c r="U35" i="66"/>
  <c r="V35" i="66"/>
  <c r="W35" i="66"/>
  <c r="K64" i="66"/>
  <c r="K65" i="66"/>
  <c r="K66" i="66"/>
  <c r="K67" i="66"/>
  <c r="K68" i="66"/>
  <c r="K69" i="66"/>
  <c r="K70" i="66"/>
  <c r="K71" i="66"/>
  <c r="K72" i="66"/>
  <c r="K73" i="66"/>
  <c r="K74" i="66"/>
  <c r="M20" i="66"/>
  <c r="R20" i="66" s="1"/>
  <c r="N20" i="66"/>
  <c r="P20" i="66" s="1"/>
  <c r="O20" i="66"/>
  <c r="T20" i="66"/>
  <c r="U20" i="66"/>
  <c r="V20" i="66"/>
  <c r="W20" i="66"/>
  <c r="A54" i="66"/>
  <c r="A55" i="66" s="1"/>
  <c r="A56" i="66" s="1"/>
  <c r="A57" i="66" s="1"/>
  <c r="A58" i="66" s="1"/>
  <c r="A59" i="66" s="1"/>
  <c r="A60" i="66" s="1"/>
  <c r="A61" i="66" s="1"/>
  <c r="A62" i="66" s="1"/>
  <c r="A63" i="66" s="1"/>
  <c r="A64" i="66" s="1"/>
  <c r="A65" i="66" s="1"/>
  <c r="A66" i="66" s="1"/>
  <c r="A67" i="66" s="1"/>
  <c r="A68" i="66" s="1"/>
  <c r="A69" i="66" s="1"/>
  <c r="A70" i="66" s="1"/>
  <c r="A71" i="66" s="1"/>
  <c r="A72" i="66" s="1"/>
  <c r="A73" i="66" s="1"/>
  <c r="A74" i="66" s="1"/>
  <c r="A75" i="66" s="1"/>
  <c r="A76" i="66" s="1"/>
  <c r="A77" i="66" s="1"/>
  <c r="A78" i="66" s="1"/>
  <c r="A79" i="66" s="1"/>
  <c r="A38" i="66"/>
  <c r="A39" i="66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21" i="66"/>
  <c r="A22" i="66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D1108" i="44"/>
  <c r="C1108" i="44"/>
  <c r="S26" i="44"/>
  <c r="S29" i="44"/>
  <c r="S30" i="44"/>
  <c r="S32" i="44"/>
  <c r="S38" i="44"/>
  <c r="S39" i="44"/>
  <c r="S41" i="44"/>
  <c r="S53" i="44"/>
  <c r="S54" i="44"/>
  <c r="S62" i="44"/>
  <c r="S70" i="44"/>
  <c r="S99" i="44"/>
  <c r="S100" i="44"/>
  <c r="M96" i="44"/>
  <c r="P96" i="44"/>
  <c r="M98" i="44"/>
  <c r="P98" i="44"/>
  <c r="M99" i="44"/>
  <c r="P99" i="44"/>
  <c r="M100" i="44"/>
  <c r="P100" i="44"/>
  <c r="M107" i="44"/>
  <c r="P107" i="44"/>
  <c r="M70" i="44"/>
  <c r="P70" i="44"/>
  <c r="M73" i="44"/>
  <c r="P73" i="44"/>
  <c r="M24" i="44"/>
  <c r="P24" i="44"/>
  <c r="M25" i="44"/>
  <c r="P25" i="44"/>
  <c r="M26" i="44"/>
  <c r="P26" i="44"/>
  <c r="M29" i="44"/>
  <c r="P29" i="44"/>
  <c r="M30" i="44"/>
  <c r="P30" i="44"/>
  <c r="M32" i="44"/>
  <c r="P32" i="44"/>
  <c r="M38" i="44"/>
  <c r="P38" i="44"/>
  <c r="M39" i="44"/>
  <c r="P39" i="44"/>
  <c r="M40" i="44"/>
  <c r="P40" i="44"/>
  <c r="M41" i="44"/>
  <c r="P41" i="44"/>
  <c r="M45" i="44"/>
  <c r="P45" i="44"/>
  <c r="M49" i="44"/>
  <c r="P49" i="44"/>
  <c r="M53" i="44"/>
  <c r="P53" i="44"/>
  <c r="M54" i="44"/>
  <c r="P54" i="44"/>
  <c r="M57" i="44"/>
  <c r="P57" i="44"/>
  <c r="M61" i="44"/>
  <c r="P61" i="44"/>
  <c r="M62" i="44"/>
  <c r="N62" i="44"/>
  <c r="P62" i="44"/>
  <c r="M63" i="44"/>
  <c r="P63" i="44"/>
  <c r="M66" i="44"/>
  <c r="P66" i="44"/>
  <c r="M67" i="44"/>
  <c r="P67" i="44"/>
  <c r="P22" i="44"/>
  <c r="M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44" i="44"/>
  <c r="K45" i="44"/>
  <c r="K46" i="44"/>
  <c r="K47" i="44"/>
  <c r="K48" i="44"/>
  <c r="K49" i="44"/>
  <c r="K50" i="44"/>
  <c r="K51" i="44"/>
  <c r="K52" i="44"/>
  <c r="K53" i="44"/>
  <c r="K54" i="44"/>
  <c r="K55" i="44"/>
  <c r="K56" i="44"/>
  <c r="K57" i="44"/>
  <c r="K58" i="44"/>
  <c r="K59" i="44"/>
  <c r="K60" i="44"/>
  <c r="K61" i="44"/>
  <c r="K62" i="44"/>
  <c r="K63" i="44"/>
  <c r="K64" i="44"/>
  <c r="K65" i="44"/>
  <c r="K66" i="44"/>
  <c r="K67" i="44"/>
  <c r="K68" i="44"/>
  <c r="K69" i="44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K83" i="44"/>
  <c r="K84" i="44"/>
  <c r="K85" i="44"/>
  <c r="K86" i="44"/>
  <c r="K87" i="44"/>
  <c r="K88" i="44"/>
  <c r="K89" i="44"/>
  <c r="K90" i="44"/>
  <c r="K91" i="44"/>
  <c r="K92" i="44"/>
  <c r="K93" i="44"/>
  <c r="K94" i="44"/>
  <c r="K95" i="44"/>
  <c r="K96" i="44"/>
  <c r="K97" i="44"/>
  <c r="K98" i="44"/>
  <c r="K99" i="44"/>
  <c r="K100" i="44"/>
  <c r="K101" i="44"/>
  <c r="K102" i="44"/>
  <c r="K103" i="44"/>
  <c r="K104" i="44"/>
  <c r="K105" i="44"/>
  <c r="K106" i="44"/>
  <c r="K107" i="44"/>
  <c r="K108" i="44"/>
  <c r="K109" i="44"/>
  <c r="K110" i="44"/>
  <c r="K22" i="44"/>
  <c r="J24" i="44"/>
  <c r="J25" i="44"/>
  <c r="J26" i="44"/>
  <c r="J29" i="44"/>
  <c r="J30" i="44"/>
  <c r="J32" i="44"/>
  <c r="J38" i="44"/>
  <c r="J39" i="44"/>
  <c r="J40" i="44"/>
  <c r="J41" i="44"/>
  <c r="J45" i="44"/>
  <c r="J49" i="44"/>
  <c r="J53" i="44"/>
  <c r="J54" i="44"/>
  <c r="J57" i="44"/>
  <c r="J61" i="44"/>
  <c r="J62" i="44"/>
  <c r="J63" i="44"/>
  <c r="J66" i="44"/>
  <c r="J67" i="44"/>
  <c r="J70" i="44"/>
  <c r="J73" i="44"/>
  <c r="J96" i="44"/>
  <c r="J98" i="44"/>
  <c r="J99" i="44"/>
  <c r="J100" i="44"/>
  <c r="J107" i="44"/>
  <c r="J22" i="44"/>
  <c r="H64" i="44"/>
  <c r="H65" i="44"/>
  <c r="H66" i="44"/>
  <c r="H67" i="44"/>
  <c r="H70" i="44"/>
  <c r="H71" i="44"/>
  <c r="H73" i="44"/>
  <c r="H76" i="44"/>
  <c r="H77" i="44"/>
  <c r="H78" i="44"/>
  <c r="H79" i="44"/>
  <c r="H80" i="44"/>
  <c r="H81" i="44"/>
  <c r="H82" i="44"/>
  <c r="H83" i="44"/>
  <c r="H84" i="44"/>
  <c r="H85" i="44"/>
  <c r="H86" i="44"/>
  <c r="H87" i="44"/>
  <c r="H88" i="44"/>
  <c r="H89" i="44"/>
  <c r="H90" i="44"/>
  <c r="H91" i="44"/>
  <c r="H92" i="44"/>
  <c r="H93" i="44"/>
  <c r="H94" i="44"/>
  <c r="H96" i="44"/>
  <c r="H97" i="44"/>
  <c r="H98" i="44"/>
  <c r="H99" i="44"/>
  <c r="H100" i="44"/>
  <c r="H101" i="44"/>
  <c r="H103" i="44"/>
  <c r="H104" i="44"/>
  <c r="H105" i="44"/>
  <c r="H106" i="44"/>
  <c r="H107" i="44"/>
  <c r="H29" i="44"/>
  <c r="H30" i="44"/>
  <c r="H32" i="44"/>
  <c r="H38" i="44"/>
  <c r="H39" i="44"/>
  <c r="H40" i="44"/>
  <c r="H41" i="44"/>
  <c r="H45" i="44"/>
  <c r="H46" i="44"/>
  <c r="H49" i="44"/>
  <c r="H53" i="44"/>
  <c r="H54" i="44"/>
  <c r="H57" i="44"/>
  <c r="H60" i="44"/>
  <c r="H61" i="44"/>
  <c r="H62" i="44"/>
  <c r="H63" i="44"/>
  <c r="H24" i="44"/>
  <c r="H25" i="44"/>
  <c r="H26" i="44"/>
  <c r="H22" i="44"/>
  <c r="D106" i="44"/>
  <c r="E106" i="44" s="1"/>
  <c r="D105" i="44"/>
  <c r="E105" i="44" s="1"/>
  <c r="F105" i="44"/>
  <c r="F14" i="81"/>
  <c r="F38" i="81"/>
  <c r="E3" i="81"/>
  <c r="F3" i="81" s="1"/>
  <c r="E4" i="81"/>
  <c r="F4" i="81" s="1"/>
  <c r="E5" i="81"/>
  <c r="F5" i="81" s="1"/>
  <c r="E6" i="81"/>
  <c r="F6" i="81" s="1"/>
  <c r="E7" i="81"/>
  <c r="F7" i="81" s="1"/>
  <c r="E8" i="81"/>
  <c r="F8" i="81" s="1"/>
  <c r="E9" i="81"/>
  <c r="F9" i="81" s="1"/>
  <c r="E10" i="81"/>
  <c r="F10" i="81" s="1"/>
  <c r="E11" i="81"/>
  <c r="F11" i="81" s="1"/>
  <c r="E12" i="81"/>
  <c r="F12" i="81" s="1"/>
  <c r="E13" i="81"/>
  <c r="F13" i="81" s="1"/>
  <c r="E14" i="81"/>
  <c r="E15" i="81"/>
  <c r="F15" i="81" s="1"/>
  <c r="E16" i="81"/>
  <c r="F16" i="81" s="1"/>
  <c r="E17" i="81"/>
  <c r="F17" i="81" s="1"/>
  <c r="E18" i="81"/>
  <c r="F18" i="81" s="1"/>
  <c r="E19" i="81"/>
  <c r="F19" i="81" s="1"/>
  <c r="E20" i="81"/>
  <c r="F20" i="81" s="1"/>
  <c r="E23" i="81"/>
  <c r="F23" i="81" s="1"/>
  <c r="E24" i="81"/>
  <c r="F24" i="81" s="1"/>
  <c r="E25" i="81"/>
  <c r="F25" i="81" s="1"/>
  <c r="E26" i="81"/>
  <c r="F26" i="81" s="1"/>
  <c r="E27" i="81"/>
  <c r="F27" i="81" s="1"/>
  <c r="E28" i="81"/>
  <c r="F28" i="81" s="1"/>
  <c r="E29" i="81"/>
  <c r="F29" i="81" s="1"/>
  <c r="E30" i="81"/>
  <c r="F30" i="81" s="1"/>
  <c r="E31" i="81"/>
  <c r="F31" i="81" s="1"/>
  <c r="E32" i="81"/>
  <c r="F32" i="81" s="1"/>
  <c r="E35" i="81"/>
  <c r="F35" i="81" s="1"/>
  <c r="E36" i="81"/>
  <c r="F36" i="81" s="1"/>
  <c r="E37" i="81"/>
  <c r="F37" i="81" s="1"/>
  <c r="E38" i="81"/>
  <c r="E39" i="81"/>
  <c r="F39" i="81" s="1"/>
  <c r="E40" i="81"/>
  <c r="F40" i="81" s="1"/>
  <c r="E41" i="81"/>
  <c r="F41" i="81" s="1"/>
  <c r="E42" i="81"/>
  <c r="F42" i="81" s="1"/>
  <c r="E43" i="81"/>
  <c r="F43" i="81" s="1"/>
  <c r="E44" i="81"/>
  <c r="F44" i="81" s="1"/>
  <c r="E45" i="81"/>
  <c r="F45" i="81" s="1"/>
  <c r="E46" i="81"/>
  <c r="F46" i="81" s="1"/>
  <c r="E47" i="81"/>
  <c r="F47" i="81" s="1"/>
  <c r="E49" i="81"/>
  <c r="F49" i="81" s="1"/>
  <c r="J11" i="81"/>
  <c r="I42" i="81"/>
  <c r="J42" i="81" s="1"/>
  <c r="I43" i="81"/>
  <c r="J43" i="81" s="1"/>
  <c r="I44" i="81"/>
  <c r="J44" i="81" s="1"/>
  <c r="I45" i="81"/>
  <c r="J45" i="81" s="1"/>
  <c r="I46" i="81"/>
  <c r="J46" i="81" s="1"/>
  <c r="I47" i="81"/>
  <c r="J47" i="81" s="1"/>
  <c r="I49" i="81"/>
  <c r="J49" i="81" s="1"/>
  <c r="I23" i="81"/>
  <c r="J23" i="81" s="1"/>
  <c r="I24" i="81"/>
  <c r="J24" i="81" s="1"/>
  <c r="I25" i="81"/>
  <c r="J25" i="81" s="1"/>
  <c r="I26" i="81"/>
  <c r="J26" i="81" s="1"/>
  <c r="I27" i="81"/>
  <c r="J27" i="81" s="1"/>
  <c r="I28" i="81"/>
  <c r="J28" i="81" s="1"/>
  <c r="I29" i="81"/>
  <c r="J29" i="81" s="1"/>
  <c r="I30" i="81"/>
  <c r="J30" i="81" s="1"/>
  <c r="I31" i="81"/>
  <c r="J31" i="81" s="1"/>
  <c r="I32" i="81"/>
  <c r="J32" i="81" s="1"/>
  <c r="I35" i="81"/>
  <c r="J35" i="81" s="1"/>
  <c r="I36" i="81"/>
  <c r="J36" i="81" s="1"/>
  <c r="I37" i="81"/>
  <c r="J37" i="81" s="1"/>
  <c r="I38" i="81"/>
  <c r="J38" i="81" s="1"/>
  <c r="I39" i="81"/>
  <c r="J39" i="81" s="1"/>
  <c r="I40" i="81"/>
  <c r="J40" i="81" s="1"/>
  <c r="I20" i="81"/>
  <c r="J20" i="81" s="1"/>
  <c r="I19" i="81"/>
  <c r="J19" i="81" s="1"/>
  <c r="I18" i="81"/>
  <c r="J18" i="81" s="1"/>
  <c r="I17" i="81"/>
  <c r="J17" i="81" s="1"/>
  <c r="I16" i="81"/>
  <c r="J16" i="81" s="1"/>
  <c r="I15" i="81"/>
  <c r="J15" i="81" s="1"/>
  <c r="I14" i="81"/>
  <c r="J14" i="81" s="1"/>
  <c r="I13" i="81"/>
  <c r="J13" i="81" s="1"/>
  <c r="I12" i="81"/>
  <c r="J12" i="81" s="1"/>
  <c r="I11" i="81"/>
  <c r="I10" i="81"/>
  <c r="J10" i="81" s="1"/>
  <c r="I9" i="81"/>
  <c r="J9" i="81" s="1"/>
  <c r="I8" i="81"/>
  <c r="J8" i="81" s="1"/>
  <c r="I7" i="81"/>
  <c r="J7" i="81" s="1"/>
  <c r="I6" i="81"/>
  <c r="J6" i="81" s="1"/>
  <c r="I5" i="81"/>
  <c r="J5" i="81" s="1"/>
  <c r="I4" i="81"/>
  <c r="J4" i="81" s="1"/>
  <c r="I3" i="81"/>
  <c r="J3" i="81" s="1"/>
  <c r="A3" i="81"/>
  <c r="A4" i="81" s="1"/>
  <c r="A5" i="81" s="1"/>
  <c r="A6" i="81" s="1"/>
  <c r="A7" i="81" s="1"/>
  <c r="A8" i="81" s="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I2" i="81"/>
  <c r="J2" i="81" s="1"/>
  <c r="E2" i="81"/>
  <c r="F2" i="81" s="1"/>
  <c r="L436" i="44"/>
  <c r="M436" i="44" s="1"/>
  <c r="L437" i="44"/>
  <c r="Q41" i="44" s="1"/>
  <c r="L438" i="44"/>
  <c r="Q99" i="44" s="1"/>
  <c r="L439" i="44"/>
  <c r="Q71" i="44" s="1"/>
  <c r="L440" i="44"/>
  <c r="Q101" i="44" s="1"/>
  <c r="L441" i="44"/>
  <c r="Q46" i="44" s="1"/>
  <c r="L442" i="44"/>
  <c r="Q22" i="44" s="1"/>
  <c r="L443" i="44"/>
  <c r="Q105" i="44" s="1"/>
  <c r="L444" i="44"/>
  <c r="Q94" i="44" s="1"/>
  <c r="L445" i="44"/>
  <c r="Q97" i="44" s="1"/>
  <c r="L446" i="44"/>
  <c r="L447" i="44"/>
  <c r="L448" i="44"/>
  <c r="M448" i="44" s="1"/>
  <c r="L449" i="44"/>
  <c r="Q62" i="44" s="1"/>
  <c r="L435" i="44"/>
  <c r="Q109" i="44" s="1"/>
  <c r="I436" i="44"/>
  <c r="N104" i="44" s="1"/>
  <c r="I437" i="44"/>
  <c r="N70" i="44" s="1"/>
  <c r="I438" i="44"/>
  <c r="N29" i="44" s="1"/>
  <c r="I439" i="44"/>
  <c r="J439" i="44" s="1"/>
  <c r="I440" i="44"/>
  <c r="N60" i="44" s="1"/>
  <c r="I441" i="44"/>
  <c r="N46" i="44" s="1"/>
  <c r="I442" i="44"/>
  <c r="N107" i="44" s="1"/>
  <c r="I443" i="44"/>
  <c r="N105" i="44" s="1"/>
  <c r="I444" i="44"/>
  <c r="N94" i="44" s="1"/>
  <c r="I445" i="44"/>
  <c r="J445" i="44" s="1"/>
  <c r="I446" i="44"/>
  <c r="I447" i="44"/>
  <c r="I448" i="44"/>
  <c r="J448" i="44" s="1"/>
  <c r="I435" i="44"/>
  <c r="N102" i="44" s="1"/>
  <c r="A3" i="80"/>
  <c r="A4" i="80" s="1"/>
  <c r="A5" i="80" s="1"/>
  <c r="A6" i="80" s="1"/>
  <c r="A7" i="80" s="1"/>
  <c r="A8" i="80" s="1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53" i="80" s="1"/>
  <c r="A54" i="80" s="1"/>
  <c r="A55" i="80" s="1"/>
  <c r="A56" i="80" s="1"/>
  <c r="A57" i="80" s="1"/>
  <c r="A58" i="80" s="1"/>
  <c r="A59" i="80" s="1"/>
  <c r="A60" i="80" s="1"/>
  <c r="A61" i="80" s="1"/>
  <c r="A62" i="80" s="1"/>
  <c r="A63" i="80" s="1"/>
  <c r="A64" i="80" s="1"/>
  <c r="A65" i="80" s="1"/>
  <c r="A66" i="80" s="1"/>
  <c r="A67" i="80" s="1"/>
  <c r="A68" i="80" s="1"/>
  <c r="A69" i="80" s="1"/>
  <c r="A70" i="80" s="1"/>
  <c r="A71" i="80" s="1"/>
  <c r="A72" i="80" s="1"/>
  <c r="A73" i="80" s="1"/>
  <c r="A74" i="80" s="1"/>
  <c r="A75" i="80" s="1"/>
  <c r="A76" i="80" s="1"/>
  <c r="A77" i="80" s="1"/>
  <c r="A78" i="80" s="1"/>
  <c r="A79" i="80" s="1"/>
  <c r="A80" i="80" s="1"/>
  <c r="A81" i="80" s="1"/>
  <c r="A82" i="80" s="1"/>
  <c r="A83" i="80" s="1"/>
  <c r="A84" i="80" s="1"/>
  <c r="A85" i="80" s="1"/>
  <c r="A86" i="80" s="1"/>
  <c r="A87" i="80" s="1"/>
  <c r="A88" i="80" s="1"/>
  <c r="A89" i="80" s="1"/>
  <c r="D23" i="44"/>
  <c r="E23" i="44" s="1"/>
  <c r="D24" i="44"/>
  <c r="E24" i="44" s="1"/>
  <c r="D25" i="44"/>
  <c r="E25" i="44" s="1"/>
  <c r="D26" i="44"/>
  <c r="E26" i="44" s="1"/>
  <c r="D27" i="44"/>
  <c r="E27" i="44" s="1"/>
  <c r="D28" i="44"/>
  <c r="D29" i="44"/>
  <c r="E29" i="44" s="1"/>
  <c r="D30" i="44"/>
  <c r="E30" i="44" s="1"/>
  <c r="D31" i="44"/>
  <c r="E31" i="44" s="1"/>
  <c r="D32" i="44"/>
  <c r="E32" i="44" s="1"/>
  <c r="D33" i="44"/>
  <c r="E33" i="44" s="1"/>
  <c r="D34" i="44"/>
  <c r="E34" i="44" s="1"/>
  <c r="D35" i="44"/>
  <c r="E35" i="44" s="1"/>
  <c r="D36" i="44"/>
  <c r="E36" i="44" s="1"/>
  <c r="D37" i="44"/>
  <c r="E37" i="44" s="1"/>
  <c r="D38" i="44"/>
  <c r="E38" i="44" s="1"/>
  <c r="D39" i="44"/>
  <c r="E39" i="44" s="1"/>
  <c r="D40" i="44"/>
  <c r="E40" i="44" s="1"/>
  <c r="D41" i="44"/>
  <c r="E41" i="44" s="1"/>
  <c r="D42" i="44"/>
  <c r="D43" i="44"/>
  <c r="D44" i="44"/>
  <c r="E44" i="44" s="1"/>
  <c r="D45" i="44"/>
  <c r="E45" i="44" s="1"/>
  <c r="D46" i="44"/>
  <c r="E46" i="44" s="1"/>
  <c r="D47" i="44"/>
  <c r="D48" i="44"/>
  <c r="E48" i="44" s="1"/>
  <c r="D49" i="44"/>
  <c r="E49" i="44" s="1"/>
  <c r="D50" i="44"/>
  <c r="E50" i="44" s="1"/>
  <c r="D51" i="44"/>
  <c r="D52" i="44"/>
  <c r="E52" i="44" s="1"/>
  <c r="D53" i="44"/>
  <c r="E53" i="44" s="1"/>
  <c r="D54" i="44"/>
  <c r="E54" i="44" s="1"/>
  <c r="D55" i="44"/>
  <c r="E55" i="44" s="1"/>
  <c r="D56" i="44"/>
  <c r="E56" i="44" s="1"/>
  <c r="D57" i="44"/>
  <c r="E57" i="44" s="1"/>
  <c r="D58" i="44"/>
  <c r="E58" i="44" s="1"/>
  <c r="D59" i="44"/>
  <c r="E59" i="44" s="1"/>
  <c r="D60" i="44"/>
  <c r="E60" i="44" s="1"/>
  <c r="D61" i="44"/>
  <c r="E61" i="44" s="1"/>
  <c r="D63" i="44"/>
  <c r="E63" i="44" s="1"/>
  <c r="D64" i="44"/>
  <c r="E64" i="44" s="1"/>
  <c r="D65" i="44"/>
  <c r="E65" i="44" s="1"/>
  <c r="D66" i="44"/>
  <c r="E66" i="44" s="1"/>
  <c r="D67" i="44"/>
  <c r="E67" i="44" s="1"/>
  <c r="D68" i="44"/>
  <c r="D69" i="44"/>
  <c r="D70" i="44"/>
  <c r="E70" i="44" s="1"/>
  <c r="D71" i="44"/>
  <c r="E71" i="44" s="1"/>
  <c r="D72" i="44"/>
  <c r="E72" i="44" s="1"/>
  <c r="D73" i="44"/>
  <c r="E73" i="44" s="1"/>
  <c r="D74" i="44"/>
  <c r="E74" i="44" s="1"/>
  <c r="D75" i="44"/>
  <c r="E75" i="44" s="1"/>
  <c r="D76" i="44"/>
  <c r="E76" i="44" s="1"/>
  <c r="D77" i="44"/>
  <c r="E77" i="44" s="1"/>
  <c r="D78" i="44"/>
  <c r="E78" i="44" s="1"/>
  <c r="D79" i="44"/>
  <c r="E79" i="44" s="1"/>
  <c r="D80" i="44"/>
  <c r="E80" i="44" s="1"/>
  <c r="D81" i="44"/>
  <c r="E81" i="44" s="1"/>
  <c r="D82" i="44"/>
  <c r="E82" i="44" s="1"/>
  <c r="D83" i="44"/>
  <c r="E83" i="44" s="1"/>
  <c r="D84" i="44"/>
  <c r="E84" i="44" s="1"/>
  <c r="D85" i="44"/>
  <c r="E85" i="44" s="1"/>
  <c r="D86" i="44"/>
  <c r="E86" i="44" s="1"/>
  <c r="D87" i="44"/>
  <c r="E87" i="44" s="1"/>
  <c r="D88" i="44"/>
  <c r="E88" i="44" s="1"/>
  <c r="D89" i="44"/>
  <c r="E89" i="44" s="1"/>
  <c r="D90" i="44"/>
  <c r="E90" i="44" s="1"/>
  <c r="D91" i="44"/>
  <c r="E91" i="44" s="1"/>
  <c r="D92" i="44"/>
  <c r="E92" i="44" s="1"/>
  <c r="D93" i="44"/>
  <c r="E93" i="44" s="1"/>
  <c r="D94" i="44"/>
  <c r="E94" i="44" s="1"/>
  <c r="D95" i="44"/>
  <c r="D96" i="44"/>
  <c r="E96" i="44" s="1"/>
  <c r="D97" i="44"/>
  <c r="E97" i="44" s="1"/>
  <c r="D98" i="44"/>
  <c r="E98" i="44" s="1"/>
  <c r="D99" i="44"/>
  <c r="E99" i="44" s="1"/>
  <c r="D100" i="44"/>
  <c r="E100" i="44" s="1"/>
  <c r="D101" i="44"/>
  <c r="E101" i="44" s="1"/>
  <c r="D102" i="44"/>
  <c r="D103" i="44"/>
  <c r="E103" i="44" s="1"/>
  <c r="D104" i="44"/>
  <c r="E104" i="44" s="1"/>
  <c r="D107" i="44"/>
  <c r="E107" i="44" s="1"/>
  <c r="D108" i="44"/>
  <c r="D109" i="44"/>
  <c r="D110" i="44"/>
  <c r="E110" i="44" s="1"/>
  <c r="D22" i="44"/>
  <c r="E22" i="44" s="1"/>
  <c r="N442" i="44"/>
  <c r="S24" i="44" s="1"/>
  <c r="AF435" i="44"/>
  <c r="AF436" i="44" s="1"/>
  <c r="AF437" i="44" s="1"/>
  <c r="AF438" i="44" s="1"/>
  <c r="AF439" i="44" s="1"/>
  <c r="AF440" i="44" s="1"/>
  <c r="AF441" i="44" s="1"/>
  <c r="AF442" i="44" s="1"/>
  <c r="AF443" i="44" s="1"/>
  <c r="AF444" i="44" s="1"/>
  <c r="AF445" i="44" s="1"/>
  <c r="AF446" i="44" s="1"/>
  <c r="AF447" i="44" s="1"/>
  <c r="AF448" i="44" s="1"/>
  <c r="AF449" i="44" s="1"/>
  <c r="I3" i="77"/>
  <c r="Y1130" i="44"/>
  <c r="AA1130" i="44" s="1"/>
  <c r="G3" i="79"/>
  <c r="G4" i="79"/>
  <c r="G5" i="79"/>
  <c r="H5" i="79" s="1"/>
  <c r="I5" i="79" s="1"/>
  <c r="G6" i="79"/>
  <c r="H6" i="79" s="1"/>
  <c r="I6" i="79" s="1"/>
  <c r="G7" i="79"/>
  <c r="H7" i="79" s="1"/>
  <c r="I7" i="79" s="1"/>
  <c r="G8" i="79"/>
  <c r="H8" i="79" s="1"/>
  <c r="I8" i="79" s="1"/>
  <c r="G9" i="79"/>
  <c r="H9" i="79" s="1"/>
  <c r="I9" i="79" s="1"/>
  <c r="G10" i="79"/>
  <c r="H10" i="79" s="1"/>
  <c r="I10" i="79" s="1"/>
  <c r="G11" i="79"/>
  <c r="H11" i="79" s="1"/>
  <c r="I11" i="79" s="1"/>
  <c r="G12" i="79"/>
  <c r="G13" i="79"/>
  <c r="G14" i="79"/>
  <c r="G15" i="79"/>
  <c r="H15" i="79" s="1"/>
  <c r="G16" i="79"/>
  <c r="H16" i="79" s="1"/>
  <c r="G17" i="79"/>
  <c r="H17" i="79" s="1"/>
  <c r="I17" i="79" s="1"/>
  <c r="G18" i="79"/>
  <c r="H18" i="79" s="1"/>
  <c r="I18" i="79" s="1"/>
  <c r="G19" i="79"/>
  <c r="H19" i="79" s="1"/>
  <c r="I19" i="79" s="1"/>
  <c r="G20" i="79"/>
  <c r="H20" i="79" s="1"/>
  <c r="H21" i="79"/>
  <c r="I21" i="79" s="1"/>
  <c r="G22" i="79"/>
  <c r="G23" i="79"/>
  <c r="H23" i="79" s="1"/>
  <c r="I23" i="79" s="1"/>
  <c r="G24" i="79"/>
  <c r="H24" i="79" s="1"/>
  <c r="I24" i="79" s="1"/>
  <c r="G25" i="79"/>
  <c r="H25" i="79" s="1"/>
  <c r="I25" i="79" s="1"/>
  <c r="G26" i="79"/>
  <c r="H26" i="79" s="1"/>
  <c r="I26" i="79" s="1"/>
  <c r="G27" i="79"/>
  <c r="H27" i="79" s="1"/>
  <c r="I27" i="79" s="1"/>
  <c r="G28" i="79"/>
  <c r="H28" i="79" s="1"/>
  <c r="I28" i="79" s="1"/>
  <c r="G29" i="79"/>
  <c r="H29" i="79" s="1"/>
  <c r="G30" i="79"/>
  <c r="H30" i="79" s="1"/>
  <c r="I30" i="79" s="1"/>
  <c r="G31" i="79"/>
  <c r="H31" i="79" s="1"/>
  <c r="I31" i="79" s="1"/>
  <c r="G32" i="79"/>
  <c r="H32" i="79" s="1"/>
  <c r="I32" i="79" s="1"/>
  <c r="G33" i="79"/>
  <c r="G34" i="79"/>
  <c r="G35" i="79"/>
  <c r="H35" i="79" s="1"/>
  <c r="I35" i="79" s="1"/>
  <c r="G36" i="79"/>
  <c r="H36" i="79" s="1"/>
  <c r="I36" i="79" s="1"/>
  <c r="G37" i="79"/>
  <c r="H37" i="79" s="1"/>
  <c r="I37" i="79" s="1"/>
  <c r="G38" i="79"/>
  <c r="H38" i="79" s="1"/>
  <c r="I38" i="79" s="1"/>
  <c r="G39" i="79"/>
  <c r="H39" i="79" s="1"/>
  <c r="I39" i="79" s="1"/>
  <c r="G40" i="79"/>
  <c r="H40" i="79" s="1"/>
  <c r="I40" i="79" s="1"/>
  <c r="G41" i="79"/>
  <c r="H41" i="79" s="1"/>
  <c r="I41" i="79" s="1"/>
  <c r="G42" i="79"/>
  <c r="G43" i="79"/>
  <c r="G44" i="79"/>
  <c r="G2" i="79"/>
  <c r="H2" i="79" s="1"/>
  <c r="I2" i="79" s="1"/>
  <c r="K2" i="79"/>
  <c r="K3" i="79"/>
  <c r="K4" i="79"/>
  <c r="K5" i="79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1" i="79"/>
  <c r="K42" i="79"/>
  <c r="K43" i="79"/>
  <c r="K44" i="79"/>
  <c r="I34" i="79"/>
  <c r="J34" i="79" s="1"/>
  <c r="H3" i="79"/>
  <c r="I3" i="79" s="1"/>
  <c r="H4" i="79"/>
  <c r="I4" i="79" s="1"/>
  <c r="H12" i="79"/>
  <c r="I12" i="79" s="1"/>
  <c r="H13" i="79"/>
  <c r="I13" i="79" s="1"/>
  <c r="H14" i="79"/>
  <c r="I14" i="79" s="1"/>
  <c r="H22" i="79"/>
  <c r="I22" i="79" s="1"/>
  <c r="H33" i="79"/>
  <c r="I33" i="79" s="1"/>
  <c r="H34" i="79"/>
  <c r="H42" i="79"/>
  <c r="I42" i="79" s="1"/>
  <c r="H43" i="79"/>
  <c r="I43" i="79" s="1"/>
  <c r="H44" i="79"/>
  <c r="I44" i="79" s="1"/>
  <c r="Q35" i="66" l="1"/>
  <c r="R34" i="66"/>
  <c r="Q22" i="66"/>
  <c r="Q49" i="66"/>
  <c r="Q34" i="66"/>
  <c r="Q20" i="66"/>
  <c r="S22" i="66"/>
  <c r="S49" i="66"/>
  <c r="Q23" i="66"/>
  <c r="S23" i="66"/>
  <c r="S35" i="66"/>
  <c r="S20" i="66"/>
  <c r="Q34" i="44"/>
  <c r="Q52" i="44"/>
  <c r="Q65" i="44"/>
  <c r="Q60" i="44"/>
  <c r="Q50" i="44"/>
  <c r="Q64" i="44"/>
  <c r="Q59" i="44"/>
  <c r="Q47" i="44"/>
  <c r="Q55" i="44"/>
  <c r="Q27" i="44"/>
  <c r="Q44" i="44"/>
  <c r="Q37" i="44"/>
  <c r="Q110" i="44"/>
  <c r="Q42" i="44"/>
  <c r="Q35" i="44"/>
  <c r="Q108" i="44"/>
  <c r="Q68" i="44"/>
  <c r="N66" i="44"/>
  <c r="Q63" i="44"/>
  <c r="N61" i="44"/>
  <c r="Q58" i="44"/>
  <c r="N56" i="44"/>
  <c r="Q53" i="44"/>
  <c r="N51" i="44"/>
  <c r="Q48" i="44"/>
  <c r="Q43" i="44"/>
  <c r="N41" i="44"/>
  <c r="Q38" i="44"/>
  <c r="N36" i="44"/>
  <c r="Q33" i="44"/>
  <c r="N31" i="44"/>
  <c r="Q28" i="44"/>
  <c r="N26" i="44"/>
  <c r="Q23" i="44"/>
  <c r="N82" i="44"/>
  <c r="Q79" i="44"/>
  <c r="N77" i="44"/>
  <c r="Q74" i="44"/>
  <c r="N72" i="44"/>
  <c r="Q69" i="44"/>
  <c r="N109" i="44"/>
  <c r="Q106" i="44"/>
  <c r="N99" i="44"/>
  <c r="Q96" i="44"/>
  <c r="Q91" i="44"/>
  <c r="N89" i="44"/>
  <c r="Q86" i="44"/>
  <c r="N84" i="44"/>
  <c r="S73" i="44"/>
  <c r="S63" i="44"/>
  <c r="N68" i="44"/>
  <c r="N63" i="44"/>
  <c r="N58" i="44"/>
  <c r="N53" i="44"/>
  <c r="N48" i="44"/>
  <c r="Q45" i="44"/>
  <c r="N43" i="44"/>
  <c r="Q40" i="44"/>
  <c r="N38" i="44"/>
  <c r="N33" i="44"/>
  <c r="Q30" i="44"/>
  <c r="N28" i="44"/>
  <c r="Q25" i="44"/>
  <c r="N23" i="44"/>
  <c r="Q81" i="44"/>
  <c r="N79" i="44"/>
  <c r="Q76" i="44"/>
  <c r="N74" i="44"/>
  <c r="N69" i="44"/>
  <c r="N106" i="44"/>
  <c r="Q103" i="44"/>
  <c r="N101" i="44"/>
  <c r="Q98" i="44"/>
  <c r="N96" i="44"/>
  <c r="Q93" i="44"/>
  <c r="N91" i="44"/>
  <c r="Q88" i="44"/>
  <c r="N86" i="44"/>
  <c r="S22" i="44"/>
  <c r="S61" i="44"/>
  <c r="S40" i="44"/>
  <c r="Q67" i="44"/>
  <c r="N65" i="44"/>
  <c r="Q57" i="44"/>
  <c r="N55" i="44"/>
  <c r="N50" i="44"/>
  <c r="N45" i="44"/>
  <c r="N40" i="44"/>
  <c r="N35" i="44"/>
  <c r="Q32" i="44"/>
  <c r="N30" i="44"/>
  <c r="N25" i="44"/>
  <c r="Q83" i="44"/>
  <c r="N81" i="44"/>
  <c r="Q78" i="44"/>
  <c r="N76" i="44"/>
  <c r="Q73" i="44"/>
  <c r="N71" i="44"/>
  <c r="N108" i="44"/>
  <c r="N103" i="44"/>
  <c r="Q100" i="44"/>
  <c r="N98" i="44"/>
  <c r="Q95" i="44"/>
  <c r="N93" i="44"/>
  <c r="Q90" i="44"/>
  <c r="N88" i="44"/>
  <c r="Q85" i="44"/>
  <c r="S49" i="44"/>
  <c r="S98" i="44"/>
  <c r="N67" i="44"/>
  <c r="N57" i="44"/>
  <c r="Q54" i="44"/>
  <c r="N52" i="44"/>
  <c r="Q49" i="44"/>
  <c r="N47" i="44"/>
  <c r="N42" i="44"/>
  <c r="Q39" i="44"/>
  <c r="N37" i="44"/>
  <c r="N32" i="44"/>
  <c r="Q29" i="44"/>
  <c r="N27" i="44"/>
  <c r="Q24" i="44"/>
  <c r="N83" i="44"/>
  <c r="Q80" i="44"/>
  <c r="N78" i="44"/>
  <c r="Q75" i="44"/>
  <c r="N73" i="44"/>
  <c r="Q70" i="44"/>
  <c r="N110" i="44"/>
  <c r="Q107" i="44"/>
  <c r="Q102" i="44"/>
  <c r="N100" i="44"/>
  <c r="N95" i="44"/>
  <c r="Q92" i="44"/>
  <c r="N90" i="44"/>
  <c r="Q87" i="44"/>
  <c r="N85" i="44"/>
  <c r="S107" i="44"/>
  <c r="S67" i="44"/>
  <c r="S57" i="44"/>
  <c r="N22" i="44"/>
  <c r="S96" i="44"/>
  <c r="S66" i="44"/>
  <c r="Q66" i="44"/>
  <c r="N64" i="44"/>
  <c r="Q61" i="44"/>
  <c r="N59" i="44"/>
  <c r="Q56" i="44"/>
  <c r="N54" i="44"/>
  <c r="Q51" i="44"/>
  <c r="N49" i="44"/>
  <c r="N44" i="44"/>
  <c r="N39" i="44"/>
  <c r="Q36" i="44"/>
  <c r="N34" i="44"/>
  <c r="Q31" i="44"/>
  <c r="Q26" i="44"/>
  <c r="N24" i="44"/>
  <c r="Q82" i="44"/>
  <c r="N80" i="44"/>
  <c r="Q77" i="44"/>
  <c r="N75" i="44"/>
  <c r="Q72" i="44"/>
  <c r="Q104" i="44"/>
  <c r="N97" i="44"/>
  <c r="N92" i="44"/>
  <c r="Q89" i="44"/>
  <c r="N87" i="44"/>
  <c r="Q84" i="44"/>
  <c r="S45" i="44"/>
  <c r="S25" i="44"/>
  <c r="T105" i="44"/>
  <c r="V105" i="44" s="1"/>
  <c r="K49" i="66" s="1"/>
  <c r="G105" i="44"/>
  <c r="U105" i="44" s="1"/>
  <c r="W105" i="44" s="1"/>
  <c r="J24" i="79"/>
  <c r="J44" i="79"/>
  <c r="J40" i="79"/>
  <c r="I29" i="79"/>
  <c r="J25" i="79"/>
  <c r="I15" i="79"/>
  <c r="J15" i="79" s="1"/>
  <c r="J13" i="79"/>
  <c r="J30" i="79"/>
  <c r="I20" i="79"/>
  <c r="J20" i="79" s="1"/>
  <c r="J43" i="79"/>
  <c r="J33" i="79"/>
  <c r="J16" i="79"/>
  <c r="I16" i="79"/>
  <c r="J35" i="79"/>
  <c r="J23" i="79"/>
  <c r="J14" i="79"/>
  <c r="J2" i="79"/>
  <c r="J6" i="79"/>
  <c r="J5" i="79"/>
  <c r="J4" i="79"/>
  <c r="J3" i="79"/>
  <c r="J10" i="79"/>
  <c r="J12" i="79"/>
  <c r="J32" i="79"/>
  <c r="J42" i="79"/>
  <c r="J11" i="79"/>
  <c r="J21" i="79"/>
  <c r="J22" i="79"/>
  <c r="J38" i="79"/>
  <c r="J19" i="79"/>
  <c r="J28" i="79"/>
  <c r="J37" i="79"/>
  <c r="J7" i="79"/>
  <c r="J39" i="79"/>
  <c r="J8" i="79"/>
  <c r="J17" i="79"/>
  <c r="J26" i="79"/>
  <c r="J31" i="79"/>
  <c r="J9" i="79"/>
  <c r="J18" i="79"/>
  <c r="J27" i="79"/>
  <c r="J36" i="79"/>
  <c r="J41" i="79"/>
  <c r="X49" i="66" l="1"/>
  <c r="Y49" i="66" s="1"/>
  <c r="Z49" i="66" s="1"/>
  <c r="AB49" i="66"/>
  <c r="AC49" i="66" s="1"/>
  <c r="AD49" i="66" s="1"/>
  <c r="J29" i="79"/>
  <c r="AA49" i="66" l="1"/>
  <c r="M3" i="77"/>
  <c r="N3" i="77" s="1"/>
  <c r="M4" i="77"/>
  <c r="N4" i="77" s="1"/>
  <c r="M5" i="77"/>
  <c r="N5" i="77" s="1"/>
  <c r="M6" i="77"/>
  <c r="N6" i="77" s="1"/>
  <c r="M7" i="77"/>
  <c r="N7" i="77" s="1"/>
  <c r="M8" i="77"/>
  <c r="N8" i="77" s="1"/>
  <c r="M9" i="77"/>
  <c r="N9" i="77" s="1"/>
  <c r="M10" i="77"/>
  <c r="N10" i="77" s="1"/>
  <c r="M11" i="77"/>
  <c r="N11" i="77" s="1"/>
  <c r="M12" i="77"/>
  <c r="N12" i="77" s="1"/>
  <c r="M13" i="77"/>
  <c r="N13" i="77" s="1"/>
  <c r="M14" i="77"/>
  <c r="N14" i="77" s="1"/>
  <c r="M15" i="77"/>
  <c r="N15" i="77" s="1"/>
  <c r="M16" i="77"/>
  <c r="N16" i="77" s="1"/>
  <c r="M17" i="77"/>
  <c r="N17" i="77" s="1"/>
  <c r="M18" i="77"/>
  <c r="N18" i="77" s="1"/>
  <c r="M19" i="77"/>
  <c r="N19" i="77" s="1"/>
  <c r="M20" i="77"/>
  <c r="N20" i="77" s="1"/>
  <c r="M21" i="77"/>
  <c r="N21" i="77" s="1"/>
  <c r="M22" i="77"/>
  <c r="N22" i="77" s="1"/>
  <c r="M23" i="77"/>
  <c r="N23" i="77" s="1"/>
  <c r="M24" i="77"/>
  <c r="N24" i="77" s="1"/>
  <c r="M25" i="77"/>
  <c r="N25" i="77" s="1"/>
  <c r="M26" i="77"/>
  <c r="N26" i="77" s="1"/>
  <c r="M27" i="77"/>
  <c r="N27" i="77" s="1"/>
  <c r="M28" i="77"/>
  <c r="N28" i="77" s="1"/>
  <c r="M29" i="77"/>
  <c r="N29" i="77" s="1"/>
  <c r="M30" i="77"/>
  <c r="N30" i="77" s="1"/>
  <c r="M31" i="77"/>
  <c r="N31" i="77" s="1"/>
  <c r="M32" i="77"/>
  <c r="N32" i="77" s="1"/>
  <c r="M33" i="77"/>
  <c r="N33" i="77" s="1"/>
  <c r="M34" i="77"/>
  <c r="N34" i="77" s="1"/>
  <c r="M35" i="77"/>
  <c r="N35" i="77" s="1"/>
  <c r="M36" i="77"/>
  <c r="N36" i="77" s="1"/>
  <c r="M38" i="77"/>
  <c r="N38" i="77" s="1"/>
  <c r="M39" i="77"/>
  <c r="N39" i="77" s="1"/>
  <c r="M40" i="77"/>
  <c r="N40" i="77" s="1"/>
  <c r="M41" i="77"/>
  <c r="N41" i="77" s="1"/>
  <c r="M42" i="77"/>
  <c r="N42" i="77" s="1"/>
  <c r="M43" i="77"/>
  <c r="N43" i="77" s="1"/>
  <c r="M44" i="77"/>
  <c r="N44" i="77" s="1"/>
  <c r="M2" i="77"/>
  <c r="N2" i="77" s="1"/>
  <c r="E3" i="77"/>
  <c r="F3" i="77" s="1"/>
  <c r="E4" i="77"/>
  <c r="F4" i="77" s="1"/>
  <c r="E5" i="77"/>
  <c r="F5" i="77" s="1"/>
  <c r="E6" i="77"/>
  <c r="F6" i="77" s="1"/>
  <c r="E7" i="77"/>
  <c r="F7" i="77" s="1"/>
  <c r="E8" i="77"/>
  <c r="F8" i="77" s="1"/>
  <c r="E9" i="77"/>
  <c r="F9" i="77" s="1"/>
  <c r="E10" i="77"/>
  <c r="F10" i="77" s="1"/>
  <c r="E11" i="77"/>
  <c r="F11" i="77" s="1"/>
  <c r="E12" i="77"/>
  <c r="F12" i="77" s="1"/>
  <c r="E13" i="77"/>
  <c r="F13" i="77" s="1"/>
  <c r="E14" i="77"/>
  <c r="F14" i="77" s="1"/>
  <c r="E15" i="77"/>
  <c r="F15" i="77" s="1"/>
  <c r="E16" i="77"/>
  <c r="F16" i="77" s="1"/>
  <c r="E17" i="77"/>
  <c r="F17" i="77" s="1"/>
  <c r="E18" i="77"/>
  <c r="F18" i="77" s="1"/>
  <c r="E19" i="77"/>
  <c r="F19" i="77" s="1"/>
  <c r="E20" i="77"/>
  <c r="F20" i="77" s="1"/>
  <c r="E21" i="77"/>
  <c r="F21" i="77" s="1"/>
  <c r="E22" i="77"/>
  <c r="F22" i="77" s="1"/>
  <c r="E23" i="77"/>
  <c r="F23" i="77" s="1"/>
  <c r="E24" i="77"/>
  <c r="F24" i="77" s="1"/>
  <c r="E25" i="77"/>
  <c r="F25" i="77" s="1"/>
  <c r="E26" i="77"/>
  <c r="F26" i="77" s="1"/>
  <c r="E27" i="77"/>
  <c r="F27" i="77" s="1"/>
  <c r="E28" i="77"/>
  <c r="F28" i="77" s="1"/>
  <c r="E29" i="77"/>
  <c r="F29" i="77" s="1"/>
  <c r="E30" i="77"/>
  <c r="F30" i="77" s="1"/>
  <c r="E31" i="77"/>
  <c r="F31" i="77" s="1"/>
  <c r="E32" i="77"/>
  <c r="F32" i="77" s="1"/>
  <c r="E33" i="77"/>
  <c r="F33" i="77" s="1"/>
  <c r="E34" i="77"/>
  <c r="F34" i="77" s="1"/>
  <c r="E35" i="77"/>
  <c r="F35" i="77" s="1"/>
  <c r="E36" i="77"/>
  <c r="F36" i="77" s="1"/>
  <c r="E37" i="77"/>
  <c r="F37" i="77" s="1"/>
  <c r="E38" i="77"/>
  <c r="F38" i="77" s="1"/>
  <c r="E39" i="77"/>
  <c r="F39" i="77" s="1"/>
  <c r="E40" i="77"/>
  <c r="F40" i="77" s="1"/>
  <c r="E41" i="77"/>
  <c r="F41" i="77" s="1"/>
  <c r="E42" i="77"/>
  <c r="F42" i="77" s="1"/>
  <c r="E43" i="77"/>
  <c r="F43" i="77" s="1"/>
  <c r="E44" i="77"/>
  <c r="F44" i="77" s="1"/>
  <c r="E2" i="77"/>
  <c r="F2" i="77" s="1"/>
  <c r="Q3" i="77"/>
  <c r="Q4" i="77"/>
  <c r="Q5" i="77"/>
  <c r="Q6" i="77"/>
  <c r="Q7" i="77"/>
  <c r="Q8" i="77"/>
  <c r="Q9" i="77"/>
  <c r="Q10" i="77"/>
  <c r="Q11" i="77"/>
  <c r="Q12" i="77"/>
  <c r="Q13" i="77"/>
  <c r="Q14" i="77"/>
  <c r="Q15" i="77"/>
  <c r="Q16" i="77"/>
  <c r="Q17" i="77"/>
  <c r="Q18" i="77"/>
  <c r="Q19" i="77"/>
  <c r="Q20" i="77"/>
  <c r="Q21" i="77"/>
  <c r="Q22" i="77"/>
  <c r="Q23" i="77"/>
  <c r="Q24" i="77"/>
  <c r="Q25" i="77"/>
  <c r="Q26" i="77"/>
  <c r="Q27" i="77"/>
  <c r="Q28" i="77"/>
  <c r="Q29" i="77"/>
  <c r="Q30" i="77"/>
  <c r="Q31" i="77"/>
  <c r="Q32" i="77"/>
  <c r="Q33" i="77"/>
  <c r="Q34" i="77"/>
  <c r="Q35" i="77"/>
  <c r="Q36" i="77"/>
  <c r="Q38" i="77"/>
  <c r="Q39" i="77"/>
  <c r="Q40" i="77"/>
  <c r="Q41" i="77"/>
  <c r="Q42" i="77"/>
  <c r="Q43" i="77"/>
  <c r="Q44" i="77"/>
  <c r="Q2" i="77"/>
  <c r="J3" i="77"/>
  <c r="J4" i="77"/>
  <c r="J5" i="77"/>
  <c r="J6" i="77"/>
  <c r="J7" i="77"/>
  <c r="J8" i="77"/>
  <c r="J9" i="77"/>
  <c r="J10" i="77"/>
  <c r="J11" i="77"/>
  <c r="J12" i="77"/>
  <c r="J13" i="77"/>
  <c r="J14" i="77"/>
  <c r="J15" i="77"/>
  <c r="J16" i="77"/>
  <c r="J17" i="77"/>
  <c r="J18" i="77"/>
  <c r="J19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32" i="77"/>
  <c r="J33" i="77"/>
  <c r="J34" i="77"/>
  <c r="J35" i="77"/>
  <c r="J36" i="77"/>
  <c r="J37" i="77"/>
  <c r="J38" i="77"/>
  <c r="J39" i="77"/>
  <c r="J40" i="77"/>
  <c r="J41" i="77"/>
  <c r="J42" i="77"/>
  <c r="J43" i="77"/>
  <c r="J44" i="77"/>
  <c r="J2" i="77"/>
  <c r="A3" i="77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N3" i="66"/>
  <c r="M3" i="66"/>
  <c r="H5" i="75"/>
  <c r="H3" i="75"/>
  <c r="E8" i="75"/>
  <c r="E7" i="75"/>
  <c r="E6" i="75"/>
  <c r="E4" i="75"/>
  <c r="E3" i="75"/>
  <c r="I633" i="44"/>
  <c r="K555" i="44"/>
  <c r="E139" i="44"/>
  <c r="E138" i="44"/>
  <c r="G138" i="44" s="1"/>
  <c r="U138" i="44" s="1"/>
  <c r="W138" i="44" s="1"/>
  <c r="E137" i="44"/>
  <c r="E136" i="44"/>
  <c r="E135" i="44"/>
  <c r="E134" i="44"/>
  <c r="G134" i="44" s="1"/>
  <c r="U134" i="44" s="1"/>
  <c r="W134" i="44" s="1"/>
  <c r="E133" i="44"/>
  <c r="E132" i="44"/>
  <c r="E131" i="44"/>
  <c r="AF36" i="44"/>
  <c r="T134" i="44"/>
  <c r="V134" i="44" s="1"/>
  <c r="T138" i="44"/>
  <c r="V138" i="44" s="1"/>
  <c r="D8" i="75"/>
  <c r="C8" i="75"/>
  <c r="D7" i="75"/>
  <c r="C7" i="75"/>
  <c r="D6" i="75"/>
  <c r="C6" i="75"/>
  <c r="G5" i="75"/>
  <c r="F5" i="75"/>
  <c r="D4" i="75"/>
  <c r="D3" i="75"/>
  <c r="F3" i="75"/>
  <c r="G3" i="75"/>
  <c r="N4" i="66"/>
  <c r="N5" i="66"/>
  <c r="N6" i="66"/>
  <c r="N7" i="66"/>
  <c r="N8" i="66"/>
  <c r="N9" i="66"/>
  <c r="N10" i="66"/>
  <c r="N11" i="66"/>
  <c r="N12" i="66"/>
  <c r="N13" i="66"/>
  <c r="N14" i="66"/>
  <c r="N15" i="66"/>
  <c r="N16" i="66"/>
  <c r="N17" i="66"/>
  <c r="N18" i="66"/>
  <c r="N19" i="66"/>
  <c r="N21" i="66"/>
  <c r="N24" i="66"/>
  <c r="N25" i="66"/>
  <c r="N26" i="66"/>
  <c r="N27" i="66"/>
  <c r="N28" i="66"/>
  <c r="N29" i="66"/>
  <c r="N30" i="66"/>
  <c r="N31" i="66"/>
  <c r="N32" i="66"/>
  <c r="N33" i="66"/>
  <c r="N36" i="66"/>
  <c r="N37" i="66"/>
  <c r="N38" i="66"/>
  <c r="N39" i="66"/>
  <c r="N40" i="66"/>
  <c r="N41" i="66"/>
  <c r="N42" i="66"/>
  <c r="N43" i="66"/>
  <c r="N44" i="66"/>
  <c r="N45" i="66"/>
  <c r="N46" i="66"/>
  <c r="N47" i="66"/>
  <c r="N48" i="66"/>
  <c r="N50" i="66"/>
  <c r="N51" i="66"/>
  <c r="N52" i="66"/>
  <c r="N53" i="66"/>
  <c r="N54" i="66"/>
  <c r="N55" i="66"/>
  <c r="N56" i="66"/>
  <c r="P56" i="66" s="1"/>
  <c r="N57" i="66"/>
  <c r="P57" i="66" s="1"/>
  <c r="N58" i="66"/>
  <c r="P58" i="66" s="1"/>
  <c r="N59" i="66"/>
  <c r="P59" i="66" s="1"/>
  <c r="N60" i="66"/>
  <c r="P60" i="66" s="1"/>
  <c r="N61" i="66"/>
  <c r="P61" i="66" s="1"/>
  <c r="N62" i="66"/>
  <c r="P62" i="66" s="1"/>
  <c r="N63" i="66"/>
  <c r="P63" i="66" s="1"/>
  <c r="N64" i="66"/>
  <c r="P64" i="66" s="1"/>
  <c r="N65" i="66"/>
  <c r="P65" i="66" s="1"/>
  <c r="N66" i="66"/>
  <c r="P66" i="66" s="1"/>
  <c r="N67" i="66"/>
  <c r="P67" i="66" s="1"/>
  <c r="N68" i="66"/>
  <c r="P68" i="66" s="1"/>
  <c r="N69" i="66"/>
  <c r="P69" i="66" s="1"/>
  <c r="N70" i="66"/>
  <c r="P70" i="66" s="1"/>
  <c r="N71" i="66"/>
  <c r="P71" i="66" s="1"/>
  <c r="N72" i="66"/>
  <c r="P72" i="66" s="1"/>
  <c r="N73" i="66"/>
  <c r="P73" i="66" s="1"/>
  <c r="N74" i="66"/>
  <c r="P74" i="66" s="1"/>
  <c r="N75" i="66"/>
  <c r="N76" i="66"/>
  <c r="P76" i="66" s="1"/>
  <c r="N77" i="66"/>
  <c r="P77" i="66" s="1"/>
  <c r="N78" i="66"/>
  <c r="P78" i="66" s="1"/>
  <c r="N79" i="66"/>
  <c r="P79" i="66" s="1"/>
  <c r="E50" i="73"/>
  <c r="E49" i="73"/>
  <c r="E48" i="73"/>
  <c r="E47" i="73"/>
  <c r="E46" i="73"/>
  <c r="K45" i="73"/>
  <c r="H45" i="73"/>
  <c r="E45" i="73"/>
  <c r="T38" i="73"/>
  <c r="N28" i="73"/>
  <c r="K28" i="73"/>
  <c r="H28" i="73"/>
  <c r="E28" i="73"/>
  <c r="K27" i="73"/>
  <c r="H27" i="73"/>
  <c r="E27" i="73"/>
  <c r="K26" i="73"/>
  <c r="H26" i="73"/>
  <c r="E26" i="73"/>
  <c r="K25" i="73"/>
  <c r="H25" i="73"/>
  <c r="E25" i="73"/>
  <c r="K24" i="73"/>
  <c r="H24" i="73"/>
  <c r="E24" i="73"/>
  <c r="K23" i="73"/>
  <c r="H23" i="73"/>
  <c r="E23" i="73"/>
  <c r="K22" i="73"/>
  <c r="H22" i="73"/>
  <c r="E22" i="73"/>
  <c r="Q17" i="73"/>
  <c r="N17" i="73"/>
  <c r="K17" i="73"/>
  <c r="H17" i="73"/>
  <c r="E17" i="73"/>
  <c r="Q16" i="73"/>
  <c r="N16" i="73"/>
  <c r="K16" i="73"/>
  <c r="H16" i="73"/>
  <c r="E16" i="73"/>
  <c r="Q15" i="73"/>
  <c r="N15" i="73"/>
  <c r="K15" i="73"/>
  <c r="H15" i="73"/>
  <c r="E15" i="73"/>
  <c r="K14" i="73"/>
  <c r="H14" i="73"/>
  <c r="E14" i="73"/>
  <c r="N13" i="73"/>
  <c r="K13" i="73"/>
  <c r="H13" i="73"/>
  <c r="E13" i="73"/>
  <c r="N12" i="73"/>
  <c r="K12" i="73"/>
  <c r="H12" i="73"/>
  <c r="E12" i="73"/>
  <c r="Q11" i="73"/>
  <c r="N11" i="73"/>
  <c r="K11" i="73"/>
  <c r="H11" i="73"/>
  <c r="E11" i="73"/>
  <c r="Q10" i="73"/>
  <c r="N10" i="73"/>
  <c r="K10" i="73"/>
  <c r="H10" i="73"/>
  <c r="E10" i="73"/>
  <c r="Q9" i="73"/>
  <c r="N9" i="73"/>
  <c r="K9" i="73"/>
  <c r="H9" i="73"/>
  <c r="E9" i="73"/>
  <c r="Q8" i="73"/>
  <c r="N8" i="73"/>
  <c r="K8" i="73"/>
  <c r="H8" i="73"/>
  <c r="E8" i="73"/>
  <c r="Q7" i="73"/>
  <c r="N7" i="73"/>
  <c r="K7" i="73"/>
  <c r="H7" i="73"/>
  <c r="E7" i="73"/>
  <c r="Q6" i="73"/>
  <c r="N6" i="73"/>
  <c r="K6" i="73"/>
  <c r="H6" i="73"/>
  <c r="E6" i="73"/>
  <c r="Q5" i="73"/>
  <c r="N5" i="73"/>
  <c r="K5" i="73"/>
  <c r="H5" i="73"/>
  <c r="E5" i="73"/>
  <c r="Q4" i="73"/>
  <c r="N4" i="73"/>
  <c r="K4" i="73"/>
  <c r="H4" i="73"/>
  <c r="E4" i="73"/>
  <c r="A4" i="73"/>
  <c r="A5" i="73" s="1"/>
  <c r="A6" i="73" s="1"/>
  <c r="A7" i="73" s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Q3" i="73"/>
  <c r="N3" i="73"/>
  <c r="K3" i="73"/>
  <c r="H3" i="73"/>
  <c r="E3" i="73"/>
  <c r="E50" i="71"/>
  <c r="E49" i="71"/>
  <c r="E48" i="71"/>
  <c r="E47" i="71"/>
  <c r="E46" i="71"/>
  <c r="K45" i="71"/>
  <c r="H45" i="71"/>
  <c r="E45" i="71"/>
  <c r="H44" i="71"/>
  <c r="E44" i="71"/>
  <c r="H43" i="71"/>
  <c r="E43" i="71"/>
  <c r="H42" i="71"/>
  <c r="E42" i="71"/>
  <c r="K41" i="71"/>
  <c r="E41" i="71"/>
  <c r="K40" i="71"/>
  <c r="E40" i="71"/>
  <c r="K39" i="71"/>
  <c r="E39" i="71"/>
  <c r="T38" i="71"/>
  <c r="H37" i="71"/>
  <c r="E37" i="71"/>
  <c r="K36" i="71"/>
  <c r="E36" i="71"/>
  <c r="H35" i="71"/>
  <c r="E35" i="71"/>
  <c r="H34" i="71"/>
  <c r="E34" i="71"/>
  <c r="K33" i="71"/>
  <c r="E33" i="71"/>
  <c r="H32" i="71"/>
  <c r="E32" i="71"/>
  <c r="E31" i="71"/>
  <c r="K30" i="71"/>
  <c r="E30" i="71"/>
  <c r="H29" i="71"/>
  <c r="E29" i="71"/>
  <c r="N28" i="71"/>
  <c r="K28" i="71"/>
  <c r="H28" i="71"/>
  <c r="E28" i="71"/>
  <c r="K27" i="71"/>
  <c r="H27" i="71"/>
  <c r="E27" i="71"/>
  <c r="K26" i="71"/>
  <c r="H26" i="71"/>
  <c r="E26" i="71"/>
  <c r="K25" i="71"/>
  <c r="H25" i="71"/>
  <c r="E25" i="71"/>
  <c r="K24" i="71"/>
  <c r="H24" i="71"/>
  <c r="E24" i="71"/>
  <c r="K23" i="71"/>
  <c r="H23" i="71"/>
  <c r="E23" i="71"/>
  <c r="K22" i="71"/>
  <c r="H22" i="71"/>
  <c r="E22" i="71"/>
  <c r="H21" i="71"/>
  <c r="E21" i="71"/>
  <c r="K20" i="71"/>
  <c r="E20" i="71"/>
  <c r="K19" i="71"/>
  <c r="E19" i="71"/>
  <c r="E18" i="71"/>
  <c r="Q17" i="71"/>
  <c r="N17" i="71"/>
  <c r="K17" i="71"/>
  <c r="H17" i="71"/>
  <c r="E17" i="71"/>
  <c r="Q16" i="71"/>
  <c r="N16" i="71"/>
  <c r="K16" i="71"/>
  <c r="H16" i="71"/>
  <c r="E16" i="71"/>
  <c r="Q15" i="71"/>
  <c r="N15" i="71"/>
  <c r="K15" i="71"/>
  <c r="H15" i="71"/>
  <c r="E15" i="71"/>
  <c r="K14" i="71"/>
  <c r="H14" i="71"/>
  <c r="E14" i="71"/>
  <c r="N13" i="71"/>
  <c r="K13" i="71"/>
  <c r="H13" i="71"/>
  <c r="E13" i="71"/>
  <c r="N12" i="71"/>
  <c r="K12" i="71"/>
  <c r="H12" i="71"/>
  <c r="E12" i="71"/>
  <c r="Q11" i="71"/>
  <c r="N11" i="71"/>
  <c r="K11" i="71"/>
  <c r="H11" i="71"/>
  <c r="E11" i="71"/>
  <c r="Q10" i="71"/>
  <c r="N10" i="71"/>
  <c r="K10" i="71"/>
  <c r="H10" i="71"/>
  <c r="E10" i="71"/>
  <c r="Q9" i="71"/>
  <c r="N9" i="71"/>
  <c r="K9" i="71"/>
  <c r="H9" i="71"/>
  <c r="E9" i="71"/>
  <c r="Q8" i="71"/>
  <c r="N8" i="71"/>
  <c r="K8" i="71"/>
  <c r="H8" i="71"/>
  <c r="E8" i="71"/>
  <c r="Q7" i="71"/>
  <c r="N7" i="71"/>
  <c r="K7" i="71"/>
  <c r="H7" i="71"/>
  <c r="E7" i="71"/>
  <c r="Q6" i="71"/>
  <c r="N6" i="71"/>
  <c r="K6" i="71"/>
  <c r="H6" i="71"/>
  <c r="E6" i="71"/>
  <c r="Q5" i="71"/>
  <c r="N5" i="71"/>
  <c r="K5" i="71"/>
  <c r="H5" i="71"/>
  <c r="E5" i="71"/>
  <c r="Q4" i="71"/>
  <c r="N4" i="71"/>
  <c r="K4" i="71"/>
  <c r="H4" i="71"/>
  <c r="E4" i="71"/>
  <c r="A4" i="7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Q3" i="71"/>
  <c r="N3" i="71"/>
  <c r="K3" i="71"/>
  <c r="H3" i="71"/>
  <c r="E3" i="71"/>
  <c r="J623" i="44" l="1"/>
  <c r="J624" i="44"/>
  <c r="J622" i="44"/>
  <c r="J632" i="44"/>
  <c r="J625" i="44"/>
  <c r="J626" i="44"/>
  <c r="J627" i="44"/>
  <c r="J618" i="44"/>
  <c r="J628" i="44"/>
  <c r="J619" i="44"/>
  <c r="J629" i="44"/>
  <c r="J620" i="44"/>
  <c r="J630" i="44"/>
  <c r="J621" i="44"/>
  <c r="J631" i="44"/>
  <c r="J617" i="44"/>
  <c r="H40" i="71"/>
  <c r="H20" i="71"/>
  <c r="N18" i="71"/>
  <c r="K18" i="71"/>
  <c r="N31" i="71"/>
  <c r="K31" i="71"/>
  <c r="K42" i="71"/>
  <c r="K29" i="71"/>
  <c r="K32" i="71"/>
  <c r="K35" i="71"/>
  <c r="H19" i="71"/>
  <c r="H39" i="71"/>
  <c r="K44" i="71"/>
  <c r="K21" i="71"/>
  <c r="H30" i="71"/>
  <c r="H33" i="71"/>
  <c r="H36" i="71"/>
  <c r="K43" i="71"/>
  <c r="H31" i="71"/>
  <c r="H41" i="71"/>
  <c r="H18" i="71"/>
  <c r="AF32" i="44"/>
  <c r="AF33" i="44" s="1"/>
  <c r="AF35" i="44" s="1"/>
  <c r="AF37" i="44" s="1"/>
  <c r="N37" i="73" l="1"/>
  <c r="N37" i="71"/>
  <c r="K37" i="71"/>
  <c r="N34" i="71"/>
  <c r="K34" i="71"/>
  <c r="AF38" i="44"/>
  <c r="AF40" i="44"/>
  <c r="T3" i="66" s="1"/>
  <c r="AF39" i="44"/>
  <c r="I607" i="44"/>
  <c r="J590" i="44" s="1"/>
  <c r="Q435" i="44"/>
  <c r="Q436" i="44" s="1"/>
  <c r="Q437" i="44" s="1"/>
  <c r="Q438" i="44" s="1"/>
  <c r="Q439" i="44" s="1"/>
  <c r="Q440" i="44" s="1"/>
  <c r="Q441" i="44" s="1"/>
  <c r="Q442" i="44" s="1"/>
  <c r="Q443" i="44" s="1"/>
  <c r="Q444" i="44" s="1"/>
  <c r="Q445" i="44" s="1"/>
  <c r="Q446" i="44" s="1"/>
  <c r="Q447" i="44" s="1"/>
  <c r="Q448" i="44" s="1"/>
  <c r="Q449" i="44" s="1"/>
  <c r="T13" i="66" l="1"/>
  <c r="T4" i="66"/>
  <c r="T14" i="66"/>
  <c r="T26" i="66"/>
  <c r="T38" i="66"/>
  <c r="T48" i="66"/>
  <c r="T59" i="66"/>
  <c r="T69" i="66"/>
  <c r="T79" i="66"/>
  <c r="T15" i="66"/>
  <c r="T27" i="66"/>
  <c r="T39" i="66"/>
  <c r="T50" i="66"/>
  <c r="T60" i="66"/>
  <c r="T70" i="66"/>
  <c r="T16" i="66"/>
  <c r="T28" i="66"/>
  <c r="T40" i="66"/>
  <c r="T51" i="66"/>
  <c r="T61" i="66"/>
  <c r="T71" i="66"/>
  <c r="T17" i="66"/>
  <c r="T29" i="66"/>
  <c r="T41" i="66"/>
  <c r="T52" i="66"/>
  <c r="T62" i="66"/>
  <c r="T72" i="66"/>
  <c r="T77" i="66"/>
  <c r="T37" i="66"/>
  <c r="T58" i="66"/>
  <c r="T68" i="66"/>
  <c r="T5" i="66"/>
  <c r="T6" i="66"/>
  <c r="T7" i="66"/>
  <c r="T8" i="66"/>
  <c r="T18" i="66"/>
  <c r="T30" i="66"/>
  <c r="T42" i="66"/>
  <c r="T53" i="66"/>
  <c r="T63" i="66"/>
  <c r="T73" i="66"/>
  <c r="T19" i="66"/>
  <c r="T31" i="66"/>
  <c r="T43" i="66"/>
  <c r="T54" i="66"/>
  <c r="T64" i="66"/>
  <c r="T74" i="66"/>
  <c r="T32" i="66"/>
  <c r="T44" i="66"/>
  <c r="T55" i="66"/>
  <c r="T65" i="66"/>
  <c r="T75" i="66"/>
  <c r="T21" i="66"/>
  <c r="T33" i="66"/>
  <c r="T45" i="66"/>
  <c r="T56" i="66"/>
  <c r="T66" i="66"/>
  <c r="T76" i="66"/>
  <c r="T9" i="66"/>
  <c r="T10" i="66"/>
  <c r="T12" i="66"/>
  <c r="T24" i="66"/>
  <c r="T36" i="66"/>
  <c r="T46" i="66"/>
  <c r="T57" i="66"/>
  <c r="T67" i="66"/>
  <c r="T25" i="66"/>
  <c r="T47" i="66"/>
  <c r="T78" i="66"/>
  <c r="T11" i="66"/>
  <c r="J598" i="44"/>
  <c r="J587" i="44"/>
  <c r="J597" i="44"/>
  <c r="J606" i="44"/>
  <c r="J599" i="44"/>
  <c r="J589" i="44"/>
  <c r="J588" i="44"/>
  <c r="J596" i="44"/>
  <c r="J605" i="44"/>
  <c r="J595" i="44"/>
  <c r="J603" i="44"/>
  <c r="J593" i="44"/>
  <c r="J604" i="44"/>
  <c r="J594" i="44"/>
  <c r="J602" i="44"/>
  <c r="J592" i="44"/>
  <c r="J601" i="44"/>
  <c r="J591" i="44"/>
  <c r="J600" i="44"/>
  <c r="D1172" i="44"/>
  <c r="D1173" i="44" s="1"/>
  <c r="D1174" i="44" s="1"/>
  <c r="D1175" i="44" s="1"/>
  <c r="D1176" i="44" s="1"/>
  <c r="K1172" i="44"/>
  <c r="K1173" i="44" s="1"/>
  <c r="K1174" i="44" s="1"/>
  <c r="K1175" i="44" s="1"/>
  <c r="K1176" i="44" s="1"/>
  <c r="K1177" i="44" s="1"/>
  <c r="K1178" i="44" s="1"/>
  <c r="K1179" i="44" s="1"/>
  <c r="K1180" i="44" s="1"/>
  <c r="K1181" i="44" s="1"/>
  <c r="K1182" i="44" s="1"/>
  <c r="K1183" i="44" s="1"/>
  <c r="K1184" i="44" s="1"/>
  <c r="K1185" i="44" s="1"/>
  <c r="K1186" i="44" s="1"/>
  <c r="K1187" i="44" s="1"/>
  <c r="K1188" i="44" s="1"/>
  <c r="K1189" i="44" s="1"/>
  <c r="K1190" i="44" s="1"/>
  <c r="K1191" i="44" s="1"/>
  <c r="K1192" i="44" s="1"/>
  <c r="K1193" i="44" s="1"/>
  <c r="K1194" i="44" s="1"/>
  <c r="K1195" i="44" s="1"/>
  <c r="K1196" i="44" s="1"/>
  <c r="N1172" i="44"/>
  <c r="N1173" i="44" s="1"/>
  <c r="N1174" i="44" s="1"/>
  <c r="N1175" i="44" s="1"/>
  <c r="N1176" i="44" s="1"/>
  <c r="Q1172" i="44"/>
  <c r="Q1173" i="44" s="1"/>
  <c r="Q1174" i="44" s="1"/>
  <c r="Q1175" i="44" s="1"/>
  <c r="Q1176" i="44" s="1"/>
  <c r="Q1177" i="44" s="1"/>
  <c r="Q1178" i="44" s="1"/>
  <c r="Q1179" i="44" s="1"/>
  <c r="Q1180" i="44" s="1"/>
  <c r="Q1181" i="44" s="1"/>
  <c r="Q1182" i="44" s="1"/>
  <c r="Q1183" i="44" s="1"/>
  <c r="Q1184" i="44" s="1"/>
  <c r="Q1185" i="44" s="1"/>
  <c r="Q1186" i="44" s="1"/>
  <c r="Q1187" i="44" s="1"/>
  <c r="Q1188" i="44" s="1"/>
  <c r="Q1189" i="44" s="1"/>
  <c r="Q1190" i="44" s="1"/>
  <c r="Q1191" i="44" s="1"/>
  <c r="Q1192" i="44" s="1"/>
  <c r="Q1193" i="44" s="1"/>
  <c r="Q1194" i="44" s="1"/>
  <c r="Q1195" i="44" s="1"/>
  <c r="Q1196" i="44" s="1"/>
  <c r="Q1197" i="44" s="1"/>
  <c r="Q1198" i="44" s="1"/>
  <c r="Q1199" i="44" s="1"/>
  <c r="Q1200" i="44" s="1"/>
  <c r="Q1201" i="44" s="1"/>
  <c r="Q1202" i="44" s="1"/>
  <c r="Q1203" i="44" s="1"/>
  <c r="Q1204" i="44" s="1"/>
  <c r="Q1205" i="44" s="1"/>
  <c r="Q1206" i="44" s="1"/>
  <c r="Q1207" i="44" s="1"/>
  <c r="Q1208" i="44" s="1"/>
  <c r="Q1209" i="44" s="1"/>
  <c r="Q1210" i="44" s="1"/>
  <c r="Q1211" i="44" s="1"/>
  <c r="Q1212" i="44" s="1"/>
  <c r="Q1213" i="44" s="1"/>
  <c r="Q1214" i="44" s="1"/>
  <c r="Q1215" i="44" s="1"/>
  <c r="Q1216" i="44" s="1"/>
  <c r="Q1217" i="44" s="1"/>
  <c r="Q1218" i="44" s="1"/>
  <c r="Q1219" i="44" s="1"/>
  <c r="Q1220" i="44" s="1"/>
  <c r="Q1221" i="44" s="1"/>
  <c r="Q1222" i="44" s="1"/>
  <c r="Q1223" i="44" s="1"/>
  <c r="Q1224" i="44" s="1"/>
  <c r="Q1225" i="44" s="1"/>
  <c r="Q1226" i="44" s="1"/>
  <c r="Q1227" i="44" s="1"/>
  <c r="Q1228" i="44" s="1"/>
  <c r="Q1229" i="44" s="1"/>
  <c r="Q1230" i="44" s="1"/>
  <c r="Q1231" i="44" s="1"/>
  <c r="Q1232" i="44" s="1"/>
  <c r="Q1233" i="44" s="1"/>
  <c r="Q1234" i="44" s="1"/>
  <c r="Q1235" i="44" s="1"/>
  <c r="Q1236" i="44" s="1"/>
  <c r="Q1237" i="44" s="1"/>
  <c r="Q1238" i="44" s="1"/>
  <c r="Q1239" i="44" s="1"/>
  <c r="Q1240" i="44" s="1"/>
  <c r="Q1241" i="44" s="1"/>
  <c r="Q1242" i="44" s="1"/>
  <c r="Q1243" i="44" s="1"/>
  <c r="Q1244" i="44" s="1"/>
  <c r="Q1245" i="44" s="1"/>
  <c r="Q1246" i="44" s="1"/>
  <c r="Q1247" i="44" s="1"/>
  <c r="Q1248" i="44" s="1"/>
  <c r="Q1249" i="44" s="1"/>
  <c r="Q1250" i="44" s="1"/>
  <c r="Q1251" i="44" s="1"/>
  <c r="Q1252" i="44" s="1"/>
  <c r="Q1253" i="44" s="1"/>
  <c r="Q1254" i="44" s="1"/>
  <c r="Q1255" i="44" s="1"/>
  <c r="Q1256" i="44" s="1"/>
  <c r="Q1257" i="44" s="1"/>
  <c r="Q1258" i="44" s="1"/>
  <c r="Q1259" i="44" s="1"/>
  <c r="Q1260" i="44" s="1"/>
  <c r="Q1261" i="44" s="1"/>
  <c r="Q1262" i="44" s="1"/>
  <c r="Q1263" i="44" s="1"/>
  <c r="Q1264" i="44" s="1"/>
  <c r="Q1265" i="44" s="1"/>
  <c r="Q1266" i="44" s="1"/>
  <c r="Q1267" i="44" s="1"/>
  <c r="Q1268" i="44" s="1"/>
  <c r="Q1269" i="44" s="1"/>
  <c r="Q1270" i="44" s="1"/>
  <c r="Q1271" i="44" s="1"/>
  <c r="R1173" i="44"/>
  <c r="R1174" i="44" s="1"/>
  <c r="R1175" i="44" s="1"/>
  <c r="R1176" i="44" s="1"/>
  <c r="R1177" i="44" s="1"/>
  <c r="R1178" i="44" s="1"/>
  <c r="R1179" i="44" s="1"/>
  <c r="R1180" i="44" s="1"/>
  <c r="R1181" i="44" s="1"/>
  <c r="R1182" i="44" s="1"/>
  <c r="R1183" i="44" s="1"/>
  <c r="R1184" i="44" s="1"/>
  <c r="R1185" i="44" s="1"/>
  <c r="R1186" i="44" s="1"/>
  <c r="R1187" i="44" s="1"/>
  <c r="R1188" i="44" s="1"/>
  <c r="R1189" i="44" s="1"/>
  <c r="R1190" i="44" s="1"/>
  <c r="R1191" i="44" s="1"/>
  <c r="R1192" i="44" s="1"/>
  <c r="R1193" i="44" s="1"/>
  <c r="R1194" i="44" s="1"/>
  <c r="R1195" i="44" s="1"/>
  <c r="R1196" i="44" s="1"/>
  <c r="R1197" i="44" s="1"/>
  <c r="R1198" i="44" s="1"/>
  <c r="R1199" i="44" s="1"/>
  <c r="R1200" i="44" s="1"/>
  <c r="R1201" i="44" s="1"/>
  <c r="R1202" i="44" s="1"/>
  <c r="R1203" i="44" s="1"/>
  <c r="R1204" i="44" s="1"/>
  <c r="R1205" i="44" s="1"/>
  <c r="R1206" i="44" s="1"/>
  <c r="R1207" i="44" s="1"/>
  <c r="R1208" i="44" s="1"/>
  <c r="R1209" i="44" s="1"/>
  <c r="R1210" i="44" s="1"/>
  <c r="R1211" i="44" s="1"/>
  <c r="R1212" i="44" s="1"/>
  <c r="R1213" i="44" s="1"/>
  <c r="R1214" i="44" s="1"/>
  <c r="R1215" i="44" s="1"/>
  <c r="R1216" i="44" s="1"/>
  <c r="R1217" i="44" s="1"/>
  <c r="R1218" i="44" s="1"/>
  <c r="R1219" i="44" s="1"/>
  <c r="R1220" i="44" s="1"/>
  <c r="R1221" i="44" s="1"/>
  <c r="R1222" i="44" s="1"/>
  <c r="R1223" i="44" s="1"/>
  <c r="R1224" i="44" s="1"/>
  <c r="R1225" i="44" s="1"/>
  <c r="R1226" i="44" s="1"/>
  <c r="R1227" i="44" s="1"/>
  <c r="R1228" i="44" s="1"/>
  <c r="R1229" i="44" s="1"/>
  <c r="R1230" i="44" s="1"/>
  <c r="R1231" i="44" s="1"/>
  <c r="R1232" i="44" s="1"/>
  <c r="R1233" i="44" s="1"/>
  <c r="R1234" i="44" s="1"/>
  <c r="R1235" i="44" s="1"/>
  <c r="R1236" i="44" s="1"/>
  <c r="R1237" i="44" s="1"/>
  <c r="R1238" i="44" s="1"/>
  <c r="R1239" i="44" s="1"/>
  <c r="R1240" i="44" s="1"/>
  <c r="R1241" i="44" s="1"/>
  <c r="R1242" i="44" s="1"/>
  <c r="R1243" i="44" s="1"/>
  <c r="R1244" i="44" s="1"/>
  <c r="R1245" i="44" s="1"/>
  <c r="R1246" i="44" s="1"/>
  <c r="R1247" i="44" s="1"/>
  <c r="R1248" i="44" s="1"/>
  <c r="R1249" i="44" s="1"/>
  <c r="R1250" i="44" s="1"/>
  <c r="R1251" i="44" s="1"/>
  <c r="R1252" i="44" s="1"/>
  <c r="R1253" i="44" s="1"/>
  <c r="R1254" i="44" s="1"/>
  <c r="R1255" i="44" s="1"/>
  <c r="R1256" i="44" s="1"/>
  <c r="R1257" i="44" s="1"/>
  <c r="R1258" i="44" s="1"/>
  <c r="R1259" i="44" s="1"/>
  <c r="R1260" i="44" s="1"/>
  <c r="R1261" i="44" s="1"/>
  <c r="R1262" i="44" s="1"/>
  <c r="R1263" i="44" s="1"/>
  <c r="R1264" i="44" s="1"/>
  <c r="R1265" i="44" s="1"/>
  <c r="R1266" i="44" s="1"/>
  <c r="R1267" i="44" s="1"/>
  <c r="R1268" i="44" s="1"/>
  <c r="R1269" i="44" s="1"/>
  <c r="R1270" i="44" s="1"/>
  <c r="R1271" i="44" s="1"/>
  <c r="T1172" i="44"/>
  <c r="T1173" i="44" s="1"/>
  <c r="T1174" i="44" s="1"/>
  <c r="T1175" i="44" s="1"/>
  <c r="T1176" i="44" s="1"/>
  <c r="T1177" i="44" s="1"/>
  <c r="T1178" i="44" s="1"/>
  <c r="T1179" i="44" s="1"/>
  <c r="W1172" i="44"/>
  <c r="Z1172" i="44"/>
  <c r="AC1172" i="44"/>
  <c r="AF1172" i="44"/>
  <c r="Y1122" i="44"/>
  <c r="AA1122" i="44" s="1"/>
  <c r="O1123" i="44"/>
  <c r="Y1123" i="44"/>
  <c r="AA1123" i="44" s="1"/>
  <c r="O1124" i="44"/>
  <c r="Y1124" i="44"/>
  <c r="AA1124" i="44" s="1"/>
  <c r="Y1125" i="44"/>
  <c r="AA1125" i="44" s="1"/>
  <c r="Y1126" i="44"/>
  <c r="AA1126" i="44" s="1"/>
  <c r="Y1127" i="44"/>
  <c r="AA1127" i="44" s="1"/>
  <c r="Y1128" i="44"/>
  <c r="AA1128" i="44" s="1"/>
  <c r="Y1131" i="44"/>
  <c r="AA1131" i="44" s="1"/>
  <c r="J607" i="44" l="1"/>
  <c r="A383" i="44"/>
  <c r="A384" i="44" s="1"/>
  <c r="A385" i="44" s="1"/>
  <c r="A386" i="44" s="1"/>
  <c r="A387" i="44" s="1"/>
  <c r="A388" i="44" s="1"/>
  <c r="A389" i="44" s="1"/>
  <c r="A390" i="44" s="1"/>
  <c r="A391" i="44" s="1"/>
  <c r="A392" i="44" s="1"/>
  <c r="A393" i="44" s="1"/>
  <c r="A394" i="44" s="1"/>
  <c r="A395" i="44" s="1"/>
  <c r="A396" i="44" s="1"/>
  <c r="A397" i="44" s="1"/>
  <c r="A398" i="44" s="1"/>
  <c r="A399" i="44" s="1"/>
  <c r="A400" i="44" s="1"/>
  <c r="A401" i="44" s="1"/>
  <c r="A402" i="44" s="1"/>
  <c r="A403" i="44" s="1"/>
  <c r="A404" i="44" s="1"/>
  <c r="A405" i="44" s="1"/>
  <c r="A406" i="44" s="1"/>
  <c r="A407" i="44" s="1"/>
  <c r="A408" i="44" s="1"/>
  <c r="A409" i="44" s="1"/>
  <c r="A410" i="44" s="1"/>
  <c r="A411" i="44" s="1"/>
  <c r="A412" i="44" s="1"/>
  <c r="A413" i="44" s="1"/>
  <c r="A414" i="44" s="1"/>
  <c r="A415" i="44" s="1"/>
  <c r="A416" i="44" s="1"/>
  <c r="A417" i="44" s="1"/>
  <c r="A418" i="44" s="1"/>
  <c r="A419" i="44" s="1"/>
  <c r="A420" i="44" s="1"/>
  <c r="A421" i="44" s="1"/>
  <c r="A422" i="44" s="1"/>
  <c r="A423" i="44" s="1"/>
  <c r="A424" i="44" s="1"/>
  <c r="A425" i="44" s="1"/>
  <c r="A426" i="44" s="1"/>
  <c r="A427" i="44" s="1"/>
  <c r="A428" i="44" s="1"/>
  <c r="A429" i="44" s="1"/>
  <c r="A430" i="44" s="1"/>
  <c r="T181" i="44"/>
  <c r="V181" i="44" s="1"/>
  <c r="G181" i="44"/>
  <c r="U181" i="44" s="1"/>
  <c r="W181" i="44" s="1"/>
  <c r="T180" i="44"/>
  <c r="V180" i="44" s="1"/>
  <c r="G180" i="44"/>
  <c r="U180" i="44" s="1"/>
  <c r="W180" i="44" s="1"/>
  <c r="T179" i="44"/>
  <c r="V179" i="44" s="1"/>
  <c r="G179" i="44"/>
  <c r="U179" i="44" s="1"/>
  <c r="W179" i="44" s="1"/>
  <c r="T178" i="44"/>
  <c r="V178" i="44" s="1"/>
  <c r="G178" i="44"/>
  <c r="U178" i="44" s="1"/>
  <c r="W178" i="44" s="1"/>
  <c r="T177" i="44"/>
  <c r="V177" i="44" s="1"/>
  <c r="AB30" i="44" s="1"/>
  <c r="G177" i="44"/>
  <c r="U177" i="44" s="1"/>
  <c r="W177" i="44" s="1"/>
  <c r="T176" i="44"/>
  <c r="V176" i="44" s="1"/>
  <c r="G176" i="44"/>
  <c r="U176" i="44" s="1"/>
  <c r="W176" i="44" s="1"/>
  <c r="T175" i="44"/>
  <c r="V175" i="44" s="1"/>
  <c r="G175" i="44"/>
  <c r="U175" i="44" s="1"/>
  <c r="W175" i="44" s="1"/>
  <c r="T174" i="44"/>
  <c r="V174" i="44" s="1"/>
  <c r="G174" i="44"/>
  <c r="U174" i="44" s="1"/>
  <c r="W174" i="44" s="1"/>
  <c r="T173" i="44"/>
  <c r="V173" i="44" s="1"/>
  <c r="G173" i="44"/>
  <c r="U173" i="44" s="1"/>
  <c r="W173" i="44" s="1"/>
  <c r="T172" i="44"/>
  <c r="V172" i="44" s="1"/>
  <c r="AB29" i="44" s="1"/>
  <c r="G172" i="44"/>
  <c r="U172" i="44" s="1"/>
  <c r="W172" i="44" s="1"/>
  <c r="T171" i="44"/>
  <c r="V171" i="44" s="1"/>
  <c r="G171" i="44"/>
  <c r="U171" i="44" s="1"/>
  <c r="W171" i="44" s="1"/>
  <c r="T170" i="44"/>
  <c r="V170" i="44" s="1"/>
  <c r="G170" i="44"/>
  <c r="U170" i="44" s="1"/>
  <c r="W170" i="44" s="1"/>
  <c r="T169" i="44"/>
  <c r="V169" i="44" s="1"/>
  <c r="G169" i="44"/>
  <c r="U169" i="44" s="1"/>
  <c r="W169" i="44" s="1"/>
  <c r="T168" i="44"/>
  <c r="V168" i="44" s="1"/>
  <c r="G168" i="44"/>
  <c r="U168" i="44" s="1"/>
  <c r="W168" i="44" s="1"/>
  <c r="T167" i="44"/>
  <c r="V167" i="44" s="1"/>
  <c r="AB28" i="44" s="1"/>
  <c r="G167" i="44"/>
  <c r="U167" i="44" s="1"/>
  <c r="W167" i="44" s="1"/>
  <c r="T166" i="44"/>
  <c r="V166" i="44" s="1"/>
  <c r="G166" i="44"/>
  <c r="U166" i="44" s="1"/>
  <c r="W166" i="44" s="1"/>
  <c r="T189" i="44"/>
  <c r="V189" i="44" s="1"/>
  <c r="G189" i="44"/>
  <c r="U189" i="44" s="1"/>
  <c r="W189" i="44" s="1"/>
  <c r="T188" i="44"/>
  <c r="V188" i="44" s="1"/>
  <c r="G188" i="44"/>
  <c r="U188" i="44" s="1"/>
  <c r="W188" i="44" s="1"/>
  <c r="T187" i="44"/>
  <c r="V187" i="44" s="1"/>
  <c r="AB31" i="44" s="1"/>
  <c r="G187" i="44"/>
  <c r="U187" i="44" s="1"/>
  <c r="W187" i="44" s="1"/>
  <c r="T186" i="44"/>
  <c r="V186" i="44" s="1"/>
  <c r="G186" i="44"/>
  <c r="U186" i="44" s="1"/>
  <c r="W186" i="44" s="1"/>
  <c r="T185" i="44"/>
  <c r="V185" i="44" s="1"/>
  <c r="G185" i="44"/>
  <c r="U185" i="44" s="1"/>
  <c r="W185" i="44" s="1"/>
  <c r="T184" i="44"/>
  <c r="V184" i="44" s="1"/>
  <c r="G184" i="44"/>
  <c r="U184" i="44" s="1"/>
  <c r="W184" i="44" s="1"/>
  <c r="T183" i="44"/>
  <c r="V183" i="44" s="1"/>
  <c r="G183" i="44"/>
  <c r="U183" i="44" s="1"/>
  <c r="W183" i="44" s="1"/>
  <c r="T182" i="44"/>
  <c r="V182" i="44" s="1"/>
  <c r="G182" i="44"/>
  <c r="U182" i="44" s="1"/>
  <c r="W182" i="44" s="1"/>
  <c r="T193" i="44"/>
  <c r="V193" i="44" s="1"/>
  <c r="G193" i="44"/>
  <c r="U193" i="44" s="1"/>
  <c r="W193" i="44" s="1"/>
  <c r="T192" i="44"/>
  <c r="V192" i="44" s="1"/>
  <c r="G192" i="44"/>
  <c r="U192" i="44" s="1"/>
  <c r="W192" i="44" s="1"/>
  <c r="T191" i="44"/>
  <c r="V191" i="44" s="1"/>
  <c r="G191" i="44"/>
  <c r="U191" i="44" s="1"/>
  <c r="W191" i="44" s="1"/>
  <c r="T190" i="44"/>
  <c r="V190" i="44" s="1"/>
  <c r="G190" i="44"/>
  <c r="U190" i="44" s="1"/>
  <c r="W190" i="44" s="1"/>
  <c r="G194" i="44"/>
  <c r="U194" i="44" s="1"/>
  <c r="W194" i="44" s="1"/>
  <c r="T194" i="44"/>
  <c r="V194" i="44" s="1"/>
  <c r="G195" i="44"/>
  <c r="U195" i="44" s="1"/>
  <c r="W195" i="44" s="1"/>
  <c r="T195" i="44"/>
  <c r="V195" i="44" s="1"/>
  <c r="G196" i="44"/>
  <c r="U196" i="44" s="1"/>
  <c r="W196" i="44" s="1"/>
  <c r="T196" i="44"/>
  <c r="V196" i="44" s="1"/>
  <c r="G197" i="44"/>
  <c r="U197" i="44" s="1"/>
  <c r="W197" i="44" s="1"/>
  <c r="T197" i="44"/>
  <c r="V197" i="44" s="1"/>
  <c r="AB32" i="44" l="1"/>
  <c r="D448" i="44"/>
  <c r="E448" i="44" s="1"/>
  <c r="G448" i="44"/>
  <c r="H448" i="44" s="1"/>
  <c r="K448" i="44"/>
  <c r="N448" i="44"/>
  <c r="J80" i="44" l="1"/>
  <c r="J90" i="44"/>
  <c r="J81" i="44"/>
  <c r="J91" i="44"/>
  <c r="J82" i="44"/>
  <c r="J92" i="44"/>
  <c r="J83" i="44"/>
  <c r="J93" i="44"/>
  <c r="J84" i="44"/>
  <c r="J85" i="44"/>
  <c r="J76" i="44"/>
  <c r="J86" i="44"/>
  <c r="J77" i="44"/>
  <c r="J87" i="44"/>
  <c r="J78" i="44"/>
  <c r="J88" i="44"/>
  <c r="J79" i="44"/>
  <c r="J89" i="44"/>
  <c r="S84" i="44"/>
  <c r="S85" i="44"/>
  <c r="S76" i="44"/>
  <c r="S86" i="44"/>
  <c r="S77" i="44"/>
  <c r="S87" i="44"/>
  <c r="S78" i="44"/>
  <c r="S88" i="44"/>
  <c r="S79" i="44"/>
  <c r="S89" i="44"/>
  <c r="S80" i="44"/>
  <c r="S90" i="44"/>
  <c r="S81" i="44"/>
  <c r="S91" i="44"/>
  <c r="S82" i="44"/>
  <c r="S92" i="44"/>
  <c r="S83" i="44"/>
  <c r="S93" i="44"/>
  <c r="P84" i="44"/>
  <c r="P89" i="44"/>
  <c r="P77" i="44"/>
  <c r="P82" i="44"/>
  <c r="P87" i="44"/>
  <c r="P92" i="44"/>
  <c r="P80" i="44"/>
  <c r="P85" i="44"/>
  <c r="P90" i="44"/>
  <c r="P78" i="44"/>
  <c r="P83" i="44"/>
  <c r="P88" i="44"/>
  <c r="P93" i="44"/>
  <c r="P76" i="44"/>
  <c r="P81" i="44"/>
  <c r="P86" i="44"/>
  <c r="P91" i="44"/>
  <c r="P79" i="44"/>
  <c r="M87" i="44"/>
  <c r="M92" i="44"/>
  <c r="M80" i="44"/>
  <c r="M85" i="44"/>
  <c r="M90" i="44"/>
  <c r="M78" i="44"/>
  <c r="M83" i="44"/>
  <c r="M88" i="44"/>
  <c r="M93" i="44"/>
  <c r="M76" i="44"/>
  <c r="M81" i="44"/>
  <c r="M86" i="44"/>
  <c r="M91" i="44"/>
  <c r="M79" i="44"/>
  <c r="M84" i="44"/>
  <c r="M89" i="44"/>
  <c r="M77" i="44"/>
  <c r="M82" i="44"/>
  <c r="AB33" i="44"/>
  <c r="W3" i="66"/>
  <c r="W18" i="66"/>
  <c r="W50" i="66"/>
  <c r="AB37" i="44" l="1"/>
  <c r="AB38" i="44" s="1"/>
  <c r="AB36" i="44"/>
  <c r="AB35" i="44"/>
  <c r="AB34" i="44"/>
  <c r="W42" i="66"/>
  <c r="W67" i="66"/>
  <c r="W33" i="66"/>
  <c r="W74" i="66"/>
  <c r="W30" i="66"/>
  <c r="W71" i="66"/>
  <c r="W26" i="66"/>
  <c r="W64" i="66"/>
  <c r="W61" i="66"/>
  <c r="W78" i="66"/>
  <c r="W65" i="66"/>
  <c r="W58" i="66"/>
  <c r="W52" i="66"/>
  <c r="W9" i="66"/>
  <c r="W59" i="66"/>
  <c r="W56" i="66"/>
  <c r="W38" i="66"/>
  <c r="W57" i="66"/>
  <c r="W21" i="66"/>
  <c r="W31" i="66"/>
  <c r="W5" i="66"/>
  <c r="W55" i="66"/>
  <c r="W16" i="66"/>
  <c r="W41" i="66"/>
  <c r="W66" i="66"/>
  <c r="W76" i="66"/>
  <c r="W70" i="66"/>
  <c r="W46" i="66"/>
  <c r="W11" i="66"/>
  <c r="W54" i="66"/>
  <c r="W8" i="66"/>
  <c r="W51" i="66"/>
  <c r="W27" i="66"/>
  <c r="W62" i="66"/>
  <c r="W19" i="66"/>
  <c r="W47" i="66"/>
  <c r="W44" i="66"/>
  <c r="W69" i="66"/>
  <c r="W73" i="66"/>
  <c r="W25" i="66"/>
  <c r="W63" i="66"/>
  <c r="W13" i="66"/>
  <c r="W45" i="66"/>
  <c r="W10" i="66"/>
  <c r="W7" i="66"/>
  <c r="W36" i="66"/>
  <c r="W75" i="66"/>
  <c r="W43" i="66"/>
  <c r="W72" i="66"/>
  <c r="W40" i="66"/>
  <c r="W15" i="66"/>
  <c r="W68" i="66"/>
  <c r="W79" i="66"/>
  <c r="W4" i="66"/>
  <c r="W6" i="66"/>
  <c r="W32" i="66"/>
  <c r="W29" i="66"/>
  <c r="W17" i="66"/>
  <c r="W48" i="66"/>
  <c r="W77" i="66"/>
  <c r="W53" i="66"/>
  <c r="W60" i="66"/>
  <c r="W24" i="66"/>
  <c r="W37" i="66"/>
  <c r="W14" i="66"/>
  <c r="W39" i="66"/>
  <c r="W28" i="66"/>
  <c r="W12" i="66"/>
  <c r="F24" i="44"/>
  <c r="F25" i="44"/>
  <c r="F27" i="44"/>
  <c r="F28" i="44"/>
  <c r="F31" i="44"/>
  <c r="F32" i="44"/>
  <c r="F33" i="44"/>
  <c r="F34" i="44"/>
  <c r="F35" i="44"/>
  <c r="F37" i="44"/>
  <c r="F38" i="44"/>
  <c r="F40" i="44"/>
  <c r="F42" i="44"/>
  <c r="F43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F57" i="44"/>
  <c r="F58" i="44"/>
  <c r="F59" i="44"/>
  <c r="F60" i="44"/>
  <c r="F61" i="44"/>
  <c r="F63" i="44"/>
  <c r="F64" i="44"/>
  <c r="F65" i="44"/>
  <c r="F66" i="44"/>
  <c r="F67" i="44"/>
  <c r="F68" i="44"/>
  <c r="F69" i="44"/>
  <c r="F71" i="44"/>
  <c r="F72" i="44"/>
  <c r="F73" i="44"/>
  <c r="F74" i="44"/>
  <c r="F75" i="44"/>
  <c r="F76" i="44"/>
  <c r="F77" i="44"/>
  <c r="G77" i="44" s="1"/>
  <c r="F78" i="44"/>
  <c r="F79" i="44"/>
  <c r="F80" i="44"/>
  <c r="F81" i="44"/>
  <c r="F82" i="44"/>
  <c r="F83" i="44"/>
  <c r="F84" i="44"/>
  <c r="F85" i="44"/>
  <c r="F86" i="44"/>
  <c r="F87" i="44"/>
  <c r="F88" i="44"/>
  <c r="F89" i="44"/>
  <c r="F90" i="44"/>
  <c r="F91" i="44"/>
  <c r="F92" i="44"/>
  <c r="F93" i="44"/>
  <c r="F94" i="44"/>
  <c r="F95" i="44"/>
  <c r="F96" i="44"/>
  <c r="F97" i="44"/>
  <c r="G97" i="44" s="1"/>
  <c r="F98" i="44"/>
  <c r="F101" i="44"/>
  <c r="F102" i="44"/>
  <c r="F103" i="44"/>
  <c r="F104" i="44"/>
  <c r="F106" i="44"/>
  <c r="G106" i="44" s="1"/>
  <c r="F107" i="44"/>
  <c r="F108" i="44"/>
  <c r="F109" i="44"/>
  <c r="F110" i="44"/>
  <c r="F23" i="44"/>
  <c r="F22" i="44"/>
  <c r="T115" i="44" l="1"/>
  <c r="T116" i="44"/>
  <c r="T117" i="44"/>
  <c r="T118" i="44"/>
  <c r="T119" i="44"/>
  <c r="T120" i="44"/>
  <c r="T121" i="44"/>
  <c r="T122" i="44"/>
  <c r="T123" i="44"/>
  <c r="T124" i="44"/>
  <c r="T125" i="44"/>
  <c r="T126" i="44"/>
  <c r="T127" i="44"/>
  <c r="T130" i="44"/>
  <c r="T131" i="44"/>
  <c r="T132" i="44"/>
  <c r="T133" i="44"/>
  <c r="T135" i="44"/>
  <c r="T136" i="44"/>
  <c r="T137" i="44"/>
  <c r="T139" i="44"/>
  <c r="T142" i="44"/>
  <c r="T143" i="44"/>
  <c r="T144" i="44"/>
  <c r="T145" i="44"/>
  <c r="T146" i="44"/>
  <c r="T147" i="44"/>
  <c r="T148" i="44"/>
  <c r="T149" i="44"/>
  <c r="T150" i="44"/>
  <c r="T151" i="44"/>
  <c r="T152" i="44"/>
  <c r="T153" i="44"/>
  <c r="T154" i="44"/>
  <c r="T155" i="44"/>
  <c r="T156" i="44"/>
  <c r="T157" i="44"/>
  <c r="T158" i="44"/>
  <c r="T159" i="44"/>
  <c r="T160" i="44"/>
  <c r="T161" i="44"/>
  <c r="T162" i="44"/>
  <c r="T163" i="44"/>
  <c r="T164" i="44"/>
  <c r="T165" i="44"/>
  <c r="G553" i="44" l="1"/>
  <c r="G554" i="44" s="1"/>
  <c r="G555" i="44" s="1"/>
  <c r="G556" i="44" s="1"/>
  <c r="G557" i="44" s="1"/>
  <c r="G558" i="44" s="1"/>
  <c r="G559" i="44" s="1"/>
  <c r="G560" i="44" s="1"/>
  <c r="G561" i="44" s="1"/>
  <c r="G562" i="44" s="1"/>
  <c r="G563" i="44" s="1"/>
  <c r="G564" i="44" s="1"/>
  <c r="G565" i="44" s="1"/>
  <c r="G566" i="44" s="1"/>
  <c r="G567" i="44" s="1"/>
  <c r="G568" i="44" s="1"/>
  <c r="G569" i="44" s="1"/>
  <c r="G570" i="44" s="1"/>
  <c r="G571" i="44" s="1"/>
  <c r="G572" i="44" s="1"/>
  <c r="G573" i="44" s="1"/>
  <c r="G574" i="44" s="1"/>
  <c r="G575" i="44" s="1"/>
  <c r="G576" i="44" s="1"/>
  <c r="G577" i="44" s="1"/>
  <c r="G578" i="44" s="1"/>
  <c r="G579" i="44" s="1"/>
  <c r="G580" i="44" s="1"/>
  <c r="C575" i="44"/>
  <c r="D559" i="44" s="1"/>
  <c r="C595" i="44"/>
  <c r="C619" i="44"/>
  <c r="D606" i="44" s="1"/>
  <c r="C646" i="44"/>
  <c r="D628" i="44" s="1"/>
  <c r="C671" i="44"/>
  <c r="D658" i="44" s="1"/>
  <c r="C700" i="44"/>
  <c r="D680" i="44" s="1"/>
  <c r="C730" i="44"/>
  <c r="D730" i="44"/>
  <c r="C758" i="44"/>
  <c r="D742" i="44" s="1"/>
  <c r="C798" i="44"/>
  <c r="D771" i="44" s="1"/>
  <c r="C824" i="44"/>
  <c r="D807" i="44" s="1"/>
  <c r="C843" i="44"/>
  <c r="D833" i="44" s="1"/>
  <c r="C868" i="44"/>
  <c r="C894" i="44"/>
  <c r="D877" i="44" s="1"/>
  <c r="C926" i="44"/>
  <c r="D906" i="44" s="1"/>
  <c r="C954" i="44"/>
  <c r="D937" i="44" s="1"/>
  <c r="C972" i="44"/>
  <c r="D963" i="44" s="1"/>
  <c r="C989" i="44"/>
  <c r="D986" i="44" s="1"/>
  <c r="C1006" i="44"/>
  <c r="D998" i="44" s="1"/>
  <c r="C1023" i="44"/>
  <c r="D1015" i="44" s="1"/>
  <c r="C1041" i="44"/>
  <c r="C1042" i="44" s="1"/>
  <c r="C1067" i="44"/>
  <c r="D1067" i="44"/>
  <c r="C1075" i="44"/>
  <c r="D1075" i="44"/>
  <c r="C1083" i="44"/>
  <c r="D1083" i="44"/>
  <c r="C1091" i="44"/>
  <c r="D1091" i="44"/>
  <c r="C1100" i="44"/>
  <c r="D1100" i="44"/>
  <c r="A455" i="44"/>
  <c r="A456" i="44" s="1"/>
  <c r="A457" i="44" s="1"/>
  <c r="A458" i="44" s="1"/>
  <c r="A459" i="44" s="1"/>
  <c r="A460" i="44" s="1"/>
  <c r="A461" i="44" s="1"/>
  <c r="A462" i="44" s="1"/>
  <c r="A463" i="44" s="1"/>
  <c r="A464" i="44" s="1"/>
  <c r="A465" i="44" s="1"/>
  <c r="A466" i="44" s="1"/>
  <c r="A467" i="44" s="1"/>
  <c r="A468" i="44" s="1"/>
  <c r="A469" i="44" s="1"/>
  <c r="A470" i="44" s="1"/>
  <c r="A471" i="44" s="1"/>
  <c r="A472" i="44" s="1"/>
  <c r="A473" i="44" s="1"/>
  <c r="A474" i="44" s="1"/>
  <c r="A475" i="44" s="1"/>
  <c r="A476" i="44" s="1"/>
  <c r="A477" i="44" s="1"/>
  <c r="A478" i="44" s="1"/>
  <c r="A479" i="44" s="1"/>
  <c r="A480" i="44" s="1"/>
  <c r="A481" i="44" s="1"/>
  <c r="A482" i="44" s="1"/>
  <c r="A483" i="44" s="1"/>
  <c r="A484" i="44" s="1"/>
  <c r="A485" i="44" s="1"/>
  <c r="A486" i="44" s="1"/>
  <c r="A487" i="44" s="1"/>
  <c r="A488" i="44" s="1"/>
  <c r="A489" i="44" s="1"/>
  <c r="A490" i="44" s="1"/>
  <c r="A491" i="44" s="1"/>
  <c r="A492" i="44" s="1"/>
  <c r="A493" i="44" s="1"/>
  <c r="A494" i="44" s="1"/>
  <c r="A495" i="44" s="1"/>
  <c r="A496" i="44" s="1"/>
  <c r="A497" i="44" s="1"/>
  <c r="A498" i="44" s="1"/>
  <c r="A499" i="44" s="1"/>
  <c r="A500" i="44" s="1"/>
  <c r="A501" i="44" s="1"/>
  <c r="A502" i="44" s="1"/>
  <c r="A503" i="44" s="1"/>
  <c r="A504" i="44" s="1"/>
  <c r="A505" i="44" s="1"/>
  <c r="A506" i="44" s="1"/>
  <c r="A507" i="44" s="1"/>
  <c r="A508" i="44" s="1"/>
  <c r="A509" i="44" s="1"/>
  <c r="A510" i="44" s="1"/>
  <c r="A511" i="44" s="1"/>
  <c r="A512" i="44" s="1"/>
  <c r="A513" i="44" s="1"/>
  <c r="A514" i="44" s="1"/>
  <c r="A515" i="44" s="1"/>
  <c r="A516" i="44" s="1"/>
  <c r="A517" i="44" s="1"/>
  <c r="A518" i="44" s="1"/>
  <c r="A519" i="44" s="1"/>
  <c r="A520" i="44" s="1"/>
  <c r="A521" i="44" s="1"/>
  <c r="A522" i="44" s="1"/>
  <c r="A523" i="44" s="1"/>
  <c r="A524" i="44" s="1"/>
  <c r="A525" i="44" s="1"/>
  <c r="A526" i="44" s="1"/>
  <c r="A527" i="44" s="1"/>
  <c r="A528" i="44" s="1"/>
  <c r="A529" i="44" s="1"/>
  <c r="A530" i="44" s="1"/>
  <c r="A531" i="44" s="1"/>
  <c r="A532" i="44" s="1"/>
  <c r="A533" i="44" s="1"/>
  <c r="A534" i="44" s="1"/>
  <c r="A535" i="44" s="1"/>
  <c r="A536" i="44" s="1"/>
  <c r="A537" i="44" s="1"/>
  <c r="A538" i="44" s="1"/>
  <c r="A539" i="44" s="1"/>
  <c r="A540" i="44" s="1"/>
  <c r="A541" i="44" s="1"/>
  <c r="A542" i="44" s="1"/>
  <c r="A543" i="44" s="1"/>
  <c r="L469" i="44"/>
  <c r="E434" i="44"/>
  <c r="H434" i="44"/>
  <c r="K434" i="44"/>
  <c r="N434" i="44"/>
  <c r="A435" i="44"/>
  <c r="A436" i="44" s="1"/>
  <c r="A437" i="44" s="1"/>
  <c r="A438" i="44" s="1"/>
  <c r="A439" i="44" s="1"/>
  <c r="A440" i="44" s="1"/>
  <c r="A441" i="44" s="1"/>
  <c r="A442" i="44" s="1"/>
  <c r="A443" i="44" s="1"/>
  <c r="A444" i="44" s="1"/>
  <c r="A445" i="44" s="1"/>
  <c r="A446" i="44" s="1"/>
  <c r="A447" i="44" s="1"/>
  <c r="A448" i="44" s="1"/>
  <c r="A449" i="44" s="1"/>
  <c r="H435" i="44"/>
  <c r="J435" i="44"/>
  <c r="K435" i="44" s="1"/>
  <c r="M435" i="44"/>
  <c r="N435" i="44" s="1"/>
  <c r="D436" i="44"/>
  <c r="E436" i="44" s="1"/>
  <c r="J104" i="44" s="1"/>
  <c r="G436" i="44"/>
  <c r="H436" i="44" s="1"/>
  <c r="M104" i="44" s="1"/>
  <c r="K436" i="44"/>
  <c r="P104" i="44" s="1"/>
  <c r="D439" i="44"/>
  <c r="E439" i="44" s="1"/>
  <c r="G439" i="44"/>
  <c r="H439" i="44" s="1"/>
  <c r="M439" i="44"/>
  <c r="N439" i="44" s="1"/>
  <c r="D440" i="44"/>
  <c r="E440" i="44" s="1"/>
  <c r="G440" i="44"/>
  <c r="H440" i="44" s="1"/>
  <c r="J440" i="44"/>
  <c r="K440" i="44" s="1"/>
  <c r="M440" i="44"/>
  <c r="N440" i="44" s="1"/>
  <c r="D441" i="44"/>
  <c r="E441" i="44" s="1"/>
  <c r="J46" i="44" s="1"/>
  <c r="G441" i="44"/>
  <c r="H441" i="44" s="1"/>
  <c r="M46" i="44" s="1"/>
  <c r="J441" i="44"/>
  <c r="K441" i="44" s="1"/>
  <c r="P46" i="44" s="1"/>
  <c r="D443" i="44"/>
  <c r="E443" i="44" s="1"/>
  <c r="G443" i="44"/>
  <c r="H443" i="44" s="1"/>
  <c r="J443" i="44"/>
  <c r="K443" i="44" s="1"/>
  <c r="M443" i="44"/>
  <c r="N443" i="44" s="1"/>
  <c r="D444" i="44"/>
  <c r="E444" i="44" s="1"/>
  <c r="J94" i="44" s="1"/>
  <c r="G444" i="44"/>
  <c r="H444" i="44" s="1"/>
  <c r="M94" i="44" s="1"/>
  <c r="J444" i="44"/>
  <c r="K444" i="44" s="1"/>
  <c r="P94" i="44" s="1"/>
  <c r="M444" i="44"/>
  <c r="N444" i="44" s="1"/>
  <c r="S94" i="44" s="1"/>
  <c r="D445" i="44"/>
  <c r="E445" i="44" s="1"/>
  <c r="J97" i="44" s="1"/>
  <c r="G445" i="44"/>
  <c r="H445" i="44" s="1"/>
  <c r="M97" i="44" s="1"/>
  <c r="K445" i="44"/>
  <c r="P97" i="44" s="1"/>
  <c r="M445" i="44"/>
  <c r="N445" i="44" s="1"/>
  <c r="S97" i="44" s="1"/>
  <c r="D446" i="44"/>
  <c r="E446" i="44" s="1"/>
  <c r="G446" i="44"/>
  <c r="H446" i="44" s="1"/>
  <c r="M446" i="44"/>
  <c r="N446" i="44" s="1"/>
  <c r="D447" i="44"/>
  <c r="E447" i="44" s="1"/>
  <c r="G447" i="44"/>
  <c r="H447" i="44"/>
  <c r="J447" i="44"/>
  <c r="K447" i="44" s="1"/>
  <c r="M447" i="44"/>
  <c r="N447" i="44" s="1"/>
  <c r="D3" i="66"/>
  <c r="J60" i="44" l="1"/>
  <c r="J101" i="44"/>
  <c r="S105" i="44"/>
  <c r="S106" i="44"/>
  <c r="S103" i="44"/>
  <c r="P105" i="44"/>
  <c r="P103" i="44"/>
  <c r="P106" i="44"/>
  <c r="M64" i="44"/>
  <c r="M71" i="44"/>
  <c r="M65" i="44"/>
  <c r="J103" i="44"/>
  <c r="J105" i="44"/>
  <c r="J106" i="44"/>
  <c r="S60" i="44"/>
  <c r="S101" i="44"/>
  <c r="S34" i="44"/>
  <c r="S44" i="44"/>
  <c r="S74" i="44"/>
  <c r="S35" i="44"/>
  <c r="S55" i="44"/>
  <c r="S75" i="44"/>
  <c r="S95" i="44"/>
  <c r="S36" i="44"/>
  <c r="S56" i="44"/>
  <c r="S27" i="44"/>
  <c r="S37" i="44"/>
  <c r="S47" i="44"/>
  <c r="S28" i="44"/>
  <c r="S48" i="44"/>
  <c r="S58" i="44"/>
  <c r="S68" i="44"/>
  <c r="S108" i="44"/>
  <c r="S59" i="44"/>
  <c r="S69" i="44"/>
  <c r="S109" i="44"/>
  <c r="S50" i="44"/>
  <c r="S110" i="44"/>
  <c r="S31" i="44"/>
  <c r="S51" i="44"/>
  <c r="S42" i="44"/>
  <c r="S52" i="44"/>
  <c r="S72" i="44"/>
  <c r="S102" i="44"/>
  <c r="S23" i="44"/>
  <c r="S33" i="44"/>
  <c r="S43" i="44"/>
  <c r="P60" i="44"/>
  <c r="P101" i="44"/>
  <c r="P109" i="44"/>
  <c r="P72" i="44"/>
  <c r="P31" i="44"/>
  <c r="P36" i="44"/>
  <c r="P51" i="44"/>
  <c r="P56" i="44"/>
  <c r="P102" i="44"/>
  <c r="P75" i="44"/>
  <c r="P34" i="44"/>
  <c r="P44" i="44"/>
  <c r="P59" i="44"/>
  <c r="P95" i="44"/>
  <c r="P110" i="44"/>
  <c r="P27" i="44"/>
  <c r="P37" i="44"/>
  <c r="P42" i="44"/>
  <c r="P47" i="44"/>
  <c r="P52" i="44"/>
  <c r="P108" i="44"/>
  <c r="P35" i="44"/>
  <c r="P50" i="44"/>
  <c r="P55" i="44"/>
  <c r="P69" i="44"/>
  <c r="P74" i="44"/>
  <c r="P23" i="44"/>
  <c r="P28" i="44"/>
  <c r="P33" i="44"/>
  <c r="P43" i="44"/>
  <c r="P48" i="44"/>
  <c r="P58" i="44"/>
  <c r="P68" i="44"/>
  <c r="H72" i="44"/>
  <c r="H102" i="44"/>
  <c r="H28" i="44"/>
  <c r="H48" i="44"/>
  <c r="H58" i="44"/>
  <c r="H59" i="44"/>
  <c r="H74" i="44"/>
  <c r="H50" i="44"/>
  <c r="H75" i="44"/>
  <c r="H95" i="44"/>
  <c r="H31" i="44"/>
  <c r="H51" i="44"/>
  <c r="H42" i="44"/>
  <c r="H52" i="44"/>
  <c r="H33" i="44"/>
  <c r="H43" i="44"/>
  <c r="H68" i="44"/>
  <c r="H108" i="44"/>
  <c r="H34" i="44"/>
  <c r="H44" i="44"/>
  <c r="H23" i="44"/>
  <c r="H69" i="44"/>
  <c r="H109" i="44"/>
  <c r="H35" i="44"/>
  <c r="H55" i="44"/>
  <c r="H110" i="44"/>
  <c r="H36" i="44"/>
  <c r="H56" i="44"/>
  <c r="H27" i="44"/>
  <c r="H37" i="44"/>
  <c r="H47" i="44"/>
  <c r="S64" i="44"/>
  <c r="S65" i="44"/>
  <c r="S71" i="44"/>
  <c r="M105" i="44"/>
  <c r="M103" i="44"/>
  <c r="M106" i="44"/>
  <c r="J71" i="44"/>
  <c r="J64" i="44"/>
  <c r="J65" i="44"/>
  <c r="M60" i="44"/>
  <c r="M101" i="44"/>
  <c r="M102" i="44"/>
  <c r="M75" i="44"/>
  <c r="M34" i="44"/>
  <c r="M44" i="44"/>
  <c r="M59" i="44"/>
  <c r="M95" i="44"/>
  <c r="M110" i="44"/>
  <c r="M27" i="44"/>
  <c r="M37" i="44"/>
  <c r="M42" i="44"/>
  <c r="M47" i="44"/>
  <c r="M52" i="44"/>
  <c r="M108" i="44"/>
  <c r="M35" i="44"/>
  <c r="M50" i="44"/>
  <c r="M55" i="44"/>
  <c r="M69" i="44"/>
  <c r="M74" i="44"/>
  <c r="M23" i="44"/>
  <c r="M28" i="44"/>
  <c r="M33" i="44"/>
  <c r="M43" i="44"/>
  <c r="M48" i="44"/>
  <c r="M58" i="44"/>
  <c r="M68" i="44"/>
  <c r="M109" i="44"/>
  <c r="M72" i="44"/>
  <c r="M31" i="44"/>
  <c r="M36" i="44"/>
  <c r="M51" i="44"/>
  <c r="M56" i="44"/>
  <c r="D587" i="44"/>
  <c r="C6" i="76"/>
  <c r="D855" i="44"/>
  <c r="D854" i="44"/>
  <c r="D791" i="44"/>
  <c r="D786" i="44"/>
  <c r="D887" i="44"/>
  <c r="D785" i="44"/>
  <c r="D884" i="44"/>
  <c r="D782" i="44"/>
  <c r="D758" i="44"/>
  <c r="M441" i="44"/>
  <c r="N441" i="44" s="1"/>
  <c r="S46" i="44" s="1"/>
  <c r="D858" i="44"/>
  <c r="N436" i="44"/>
  <c r="S104" i="44" s="1"/>
  <c r="J446" i="44"/>
  <c r="K446" i="44" s="1"/>
  <c r="K439" i="44"/>
  <c r="D922" i="44"/>
  <c r="D981" i="44"/>
  <c r="D888" i="44"/>
  <c r="D866" i="44"/>
  <c r="D814" i="44"/>
  <c r="D777" i="44"/>
  <c r="D948" i="44"/>
  <c r="D940" i="44"/>
  <c r="D751" i="44"/>
  <c r="D936" i="44"/>
  <c r="D865" i="44"/>
  <c r="D813" i="44"/>
  <c r="D773" i="44"/>
  <c r="D639" i="44"/>
  <c r="D741" i="44"/>
  <c r="D862" i="44"/>
  <c r="D770" i="44"/>
  <c r="D643" i="44"/>
  <c r="D891" i="44"/>
  <c r="D861" i="44"/>
  <c r="D795" i="44"/>
  <c r="D769" i="44"/>
  <c r="D635" i="44"/>
  <c r="D591" i="44"/>
  <c r="D669" i="44"/>
  <c r="D631" i="44"/>
  <c r="D840" i="44"/>
  <c r="D1041" i="44"/>
  <c r="D970" i="44"/>
  <c r="D836" i="44"/>
  <c r="D810" i="44"/>
  <c r="D665" i="44"/>
  <c r="D661" i="44"/>
  <c r="D617" i="44"/>
  <c r="D573" i="44"/>
  <c r="D809" i="44"/>
  <c r="D914" i="44"/>
  <c r="D883" i="44"/>
  <c r="D822" i="44"/>
  <c r="D781" i="44"/>
  <c r="D697" i="44"/>
  <c r="D657" i="44"/>
  <c r="D613" i="44"/>
  <c r="D565" i="44"/>
  <c r="D952" i="44"/>
  <c r="D880" i="44"/>
  <c r="D857" i="44"/>
  <c r="D821" i="44"/>
  <c r="D796" i="44"/>
  <c r="D778" i="44"/>
  <c r="D755" i="44"/>
  <c r="D693" i="44"/>
  <c r="D609" i="44"/>
  <c r="D557" i="44"/>
  <c r="D966" i="44"/>
  <c r="D879" i="44"/>
  <c r="D818" i="44"/>
  <c r="D687" i="44"/>
  <c r="D605" i="44"/>
  <c r="D982" i="44"/>
  <c r="D944" i="44"/>
  <c r="D892" i="44"/>
  <c r="D853" i="44"/>
  <c r="D817" i="44"/>
  <c r="D792" i="44"/>
  <c r="D774" i="44"/>
  <c r="D745" i="44"/>
  <c r="D683" i="44"/>
  <c r="D1032" i="44"/>
  <c r="D1036" i="44"/>
  <c r="D1040" i="44"/>
  <c r="D1033" i="44"/>
  <c r="D1037" i="44"/>
  <c r="D1034" i="44"/>
  <c r="D1038" i="44"/>
  <c r="D1031" i="44"/>
  <c r="D1035" i="44"/>
  <c r="D1039" i="44"/>
  <c r="D1022" i="44"/>
  <c r="D1018" i="44"/>
  <c r="D1014" i="44"/>
  <c r="D1005" i="44"/>
  <c r="D1001" i="44"/>
  <c r="D997" i="44"/>
  <c r="D988" i="44"/>
  <c r="D903" i="44"/>
  <c r="D907" i="44"/>
  <c r="D911" i="44"/>
  <c r="D915" i="44"/>
  <c r="D919" i="44"/>
  <c r="D923" i="44"/>
  <c r="D904" i="44"/>
  <c r="D908" i="44"/>
  <c r="D912" i="44"/>
  <c r="D916" i="44"/>
  <c r="D920" i="44"/>
  <c r="D924" i="44"/>
  <c r="D905" i="44"/>
  <c r="D909" i="44"/>
  <c r="D913" i="44"/>
  <c r="D917" i="44"/>
  <c r="D921" i="44"/>
  <c r="D925" i="44"/>
  <c r="D584" i="44"/>
  <c r="D588" i="44"/>
  <c r="D592" i="44"/>
  <c r="D585" i="44"/>
  <c r="D589" i="44"/>
  <c r="D593" i="44"/>
  <c r="D586" i="44"/>
  <c r="D590" i="44"/>
  <c r="D594" i="44"/>
  <c r="D563" i="44"/>
  <c r="D983" i="44"/>
  <c r="D561" i="44"/>
  <c r="D1021" i="44"/>
  <c r="D1017" i="44"/>
  <c r="D1004" i="44"/>
  <c r="D1000" i="44"/>
  <c r="D987" i="44"/>
  <c r="D918" i="44"/>
  <c r="D571" i="44"/>
  <c r="D1020" i="44"/>
  <c r="D1016" i="44"/>
  <c r="D1003" i="44"/>
  <c r="D999" i="44"/>
  <c r="D910" i="44"/>
  <c r="D554" i="44"/>
  <c r="D556" i="44"/>
  <c r="D558" i="44"/>
  <c r="D560" i="44"/>
  <c r="D562" i="44"/>
  <c r="D564" i="44"/>
  <c r="D566" i="44"/>
  <c r="D568" i="44"/>
  <c r="D570" i="44"/>
  <c r="D572" i="44"/>
  <c r="D574" i="44"/>
  <c r="D569" i="44"/>
  <c r="D555" i="44"/>
  <c r="D1019" i="44"/>
  <c r="D1002" i="44"/>
  <c r="D980" i="44"/>
  <c r="D984" i="44"/>
  <c r="D985" i="44"/>
  <c r="D567" i="44"/>
  <c r="D969" i="44"/>
  <c r="D965" i="44"/>
  <c r="D951" i="44"/>
  <c r="D947" i="44"/>
  <c r="D943" i="44"/>
  <c r="D939" i="44"/>
  <c r="D935" i="44"/>
  <c r="D839" i="44"/>
  <c r="D835" i="44"/>
  <c r="D754" i="44"/>
  <c r="D750" i="44"/>
  <c r="D744" i="44"/>
  <c r="D740" i="44"/>
  <c r="D696" i="44"/>
  <c r="D690" i="44"/>
  <c r="D686" i="44"/>
  <c r="D682" i="44"/>
  <c r="D668" i="44"/>
  <c r="D664" i="44"/>
  <c r="D660" i="44"/>
  <c r="D656" i="44"/>
  <c r="D642" i="44"/>
  <c r="D638" i="44"/>
  <c r="D634" i="44"/>
  <c r="D630" i="44"/>
  <c r="D616" i="44"/>
  <c r="D612" i="44"/>
  <c r="D608" i="44"/>
  <c r="D604" i="44"/>
  <c r="D968" i="44"/>
  <c r="D964" i="44"/>
  <c r="D950" i="44"/>
  <c r="D946" i="44"/>
  <c r="D942" i="44"/>
  <c r="D938" i="44"/>
  <c r="D890" i="44"/>
  <c r="D886" i="44"/>
  <c r="D882" i="44"/>
  <c r="D878" i="44"/>
  <c r="D864" i="44"/>
  <c r="D860" i="44"/>
  <c r="D856" i="44"/>
  <c r="D852" i="44"/>
  <c r="D842" i="44"/>
  <c r="D838" i="44"/>
  <c r="D834" i="44"/>
  <c r="D820" i="44"/>
  <c r="D816" i="44"/>
  <c r="D812" i="44"/>
  <c r="D808" i="44"/>
  <c r="D794" i="44"/>
  <c r="D790" i="44"/>
  <c r="D784" i="44"/>
  <c r="D780" i="44"/>
  <c r="D776" i="44"/>
  <c r="D772" i="44"/>
  <c r="D768" i="44"/>
  <c r="D757" i="44"/>
  <c r="D753" i="44"/>
  <c r="D749" i="44"/>
  <c r="D743" i="44"/>
  <c r="D699" i="44"/>
  <c r="D695" i="44"/>
  <c r="D689" i="44"/>
  <c r="D685" i="44"/>
  <c r="D681" i="44"/>
  <c r="D667" i="44"/>
  <c r="D663" i="44"/>
  <c r="D659" i="44"/>
  <c r="D655" i="44"/>
  <c r="D645" i="44"/>
  <c r="D641" i="44"/>
  <c r="D637" i="44"/>
  <c r="D633" i="44"/>
  <c r="D629" i="44"/>
  <c r="D615" i="44"/>
  <c r="D611" i="44"/>
  <c r="D607" i="44"/>
  <c r="D971" i="44"/>
  <c r="D967" i="44"/>
  <c r="D953" i="44"/>
  <c r="D949" i="44"/>
  <c r="D945" i="44"/>
  <c r="D941" i="44"/>
  <c r="D893" i="44"/>
  <c r="D889" i="44"/>
  <c r="D885" i="44"/>
  <c r="D881" i="44"/>
  <c r="D867" i="44"/>
  <c r="D863" i="44"/>
  <c r="D859" i="44"/>
  <c r="D841" i="44"/>
  <c r="D837" i="44"/>
  <c r="D823" i="44"/>
  <c r="D819" i="44"/>
  <c r="D815" i="44"/>
  <c r="D811" i="44"/>
  <c r="D797" i="44"/>
  <c r="D793" i="44"/>
  <c r="D789" i="44"/>
  <c r="D783" i="44"/>
  <c r="D779" i="44"/>
  <c r="D775" i="44"/>
  <c r="D756" i="44"/>
  <c r="D752" i="44"/>
  <c r="D746" i="44"/>
  <c r="D698" i="44"/>
  <c r="D694" i="44"/>
  <c r="D688" i="44"/>
  <c r="D684" i="44"/>
  <c r="D670" i="44"/>
  <c r="D666" i="44"/>
  <c r="D662" i="44"/>
  <c r="D644" i="44"/>
  <c r="D640" i="44"/>
  <c r="D636" i="44"/>
  <c r="D632" i="44"/>
  <c r="D618" i="44"/>
  <c r="D614" i="44"/>
  <c r="D610" i="44"/>
  <c r="P64" i="44" l="1"/>
  <c r="P71" i="44"/>
  <c r="P65" i="44"/>
  <c r="J50" i="44"/>
  <c r="J110" i="44"/>
  <c r="J31" i="44"/>
  <c r="J51" i="44"/>
  <c r="J42" i="44"/>
  <c r="J52" i="44"/>
  <c r="J72" i="44"/>
  <c r="J102" i="44"/>
  <c r="J23" i="44"/>
  <c r="J33" i="44"/>
  <c r="J43" i="44"/>
  <c r="J34" i="44"/>
  <c r="J44" i="44"/>
  <c r="J74" i="44"/>
  <c r="J35" i="44"/>
  <c r="J55" i="44"/>
  <c r="J75" i="44"/>
  <c r="J95" i="44"/>
  <c r="J36" i="44"/>
  <c r="J56" i="44"/>
  <c r="J27" i="44"/>
  <c r="J37" i="44"/>
  <c r="J47" i="44"/>
  <c r="J28" i="44"/>
  <c r="J48" i="44"/>
  <c r="J58" i="44"/>
  <c r="J68" i="44"/>
  <c r="J108" i="44"/>
  <c r="J59" i="44"/>
  <c r="J69" i="44"/>
  <c r="J109" i="44"/>
  <c r="J633" i="44"/>
  <c r="D671" i="44"/>
  <c r="D843" i="44"/>
  <c r="D646" i="44"/>
  <c r="D824" i="44"/>
  <c r="D700" i="44"/>
  <c r="D894" i="44"/>
  <c r="D619" i="44"/>
  <c r="D989" i="44"/>
  <c r="D926" i="44"/>
  <c r="D868" i="44"/>
  <c r="D1006" i="44"/>
  <c r="D798" i="44"/>
  <c r="D1042" i="44"/>
  <c r="D972" i="44"/>
  <c r="D954" i="44"/>
  <c r="D1023" i="44"/>
  <c r="D575" i="44"/>
  <c r="D595" i="44"/>
  <c r="R121" i="44"/>
  <c r="S121" i="44" s="1"/>
  <c r="R122" i="44"/>
  <c r="S122" i="44" s="1"/>
  <c r="R123" i="44"/>
  <c r="S123" i="44" s="1"/>
  <c r="R124" i="44"/>
  <c r="S124" i="44" s="1"/>
  <c r="R125" i="44"/>
  <c r="S125" i="44" s="1"/>
  <c r="R126" i="44"/>
  <c r="S126" i="44" s="1"/>
  <c r="R120" i="44"/>
  <c r="S120" i="44" s="1"/>
  <c r="E116" i="44"/>
  <c r="E117" i="44"/>
  <c r="E118" i="44"/>
  <c r="E119" i="44"/>
  <c r="E120" i="44"/>
  <c r="E121" i="44"/>
  <c r="E122" i="44"/>
  <c r="E123" i="44"/>
  <c r="E124" i="44"/>
  <c r="E125" i="44"/>
  <c r="E126" i="44"/>
  <c r="E115" i="44"/>
  <c r="D50" i="66" l="1"/>
  <c r="T106" i="44" l="1"/>
  <c r="U106" i="44"/>
  <c r="M4" i="66"/>
  <c r="M5" i="66"/>
  <c r="M6" i="66"/>
  <c r="M7" i="66"/>
  <c r="M8" i="66"/>
  <c r="M9" i="66"/>
  <c r="M10" i="66"/>
  <c r="M11" i="66"/>
  <c r="M12" i="66"/>
  <c r="M13" i="66"/>
  <c r="M14" i="66"/>
  <c r="M15" i="66"/>
  <c r="M16" i="66"/>
  <c r="M17" i="66"/>
  <c r="M18" i="66"/>
  <c r="M19" i="66"/>
  <c r="M21" i="66"/>
  <c r="M24" i="66"/>
  <c r="M25" i="66"/>
  <c r="M26" i="66"/>
  <c r="M27" i="66"/>
  <c r="M28" i="66"/>
  <c r="M29" i="66"/>
  <c r="M30" i="66"/>
  <c r="M31" i="66"/>
  <c r="M32" i="66"/>
  <c r="M33" i="66"/>
  <c r="M36" i="66"/>
  <c r="M37" i="66"/>
  <c r="M38" i="66"/>
  <c r="M39" i="66"/>
  <c r="M40" i="66"/>
  <c r="M41" i="66"/>
  <c r="M42" i="66"/>
  <c r="M43" i="66"/>
  <c r="M44" i="66"/>
  <c r="M45" i="66"/>
  <c r="M46" i="66"/>
  <c r="M47" i="66"/>
  <c r="M48" i="66"/>
  <c r="M50" i="66"/>
  <c r="M51" i="66"/>
  <c r="M52" i="66"/>
  <c r="M53" i="66"/>
  <c r="M54" i="66"/>
  <c r="M55" i="66"/>
  <c r="M56" i="66"/>
  <c r="M57" i="66"/>
  <c r="M58" i="66"/>
  <c r="M59" i="66"/>
  <c r="M60" i="66"/>
  <c r="M61" i="66"/>
  <c r="M62" i="66"/>
  <c r="M63" i="66"/>
  <c r="M64" i="66"/>
  <c r="M65" i="66"/>
  <c r="M66" i="66"/>
  <c r="M67" i="66"/>
  <c r="M68" i="66"/>
  <c r="M69" i="66"/>
  <c r="M70" i="66"/>
  <c r="M71" i="66"/>
  <c r="M72" i="66"/>
  <c r="M73" i="66"/>
  <c r="M74" i="66"/>
  <c r="M75" i="66"/>
  <c r="M76" i="66"/>
  <c r="M77" i="66"/>
  <c r="M78" i="66"/>
  <c r="M79" i="66"/>
  <c r="Q67" i="66" l="1"/>
  <c r="Q59" i="66"/>
  <c r="Q74" i="66"/>
  <c r="Q66" i="66"/>
  <c r="Q58" i="66"/>
  <c r="Q79" i="66"/>
  <c r="Q71" i="66"/>
  <c r="Q63" i="66"/>
  <c r="Q78" i="66"/>
  <c r="Q70" i="66"/>
  <c r="Q62" i="66"/>
  <c r="Q77" i="66"/>
  <c r="Q69" i="66"/>
  <c r="Q61" i="66"/>
  <c r="Q76" i="66"/>
  <c r="Q68" i="66"/>
  <c r="Q60" i="66"/>
  <c r="Q73" i="66"/>
  <c r="Q65" i="66"/>
  <c r="Q57" i="66"/>
  <c r="Q72" i="66"/>
  <c r="Q64" i="66"/>
  <c r="Q56" i="66"/>
  <c r="Y115" i="44" l="1"/>
  <c r="A263" i="44"/>
  <c r="A264" i="44" s="1"/>
  <c r="A265" i="44" s="1"/>
  <c r="A266" i="44" s="1"/>
  <c r="A267" i="44" s="1"/>
  <c r="A268" i="44" s="1"/>
  <c r="A269" i="44" s="1"/>
  <c r="A270" i="44" s="1"/>
  <c r="A271" i="44" s="1"/>
  <c r="A272" i="44" s="1"/>
  <c r="A273" i="44" s="1"/>
  <c r="A274" i="44" s="1"/>
  <c r="A275" i="44" s="1"/>
  <c r="A276" i="44" s="1"/>
  <c r="A277" i="44" s="1"/>
  <c r="A278" i="44" s="1"/>
  <c r="A279" i="44" s="1"/>
  <c r="A280" i="44" s="1"/>
  <c r="A281" i="44" s="1"/>
  <c r="A282" i="44" s="1"/>
  <c r="A283" i="44" s="1"/>
  <c r="A284" i="44" s="1"/>
  <c r="A285" i="44" s="1"/>
  <c r="A286" i="44" s="1"/>
  <c r="A287" i="44" s="1"/>
  <c r="A288" i="44" s="1"/>
  <c r="A289" i="44" s="1"/>
  <c r="A290" i="44" s="1"/>
  <c r="A291" i="44" s="1"/>
  <c r="A292" i="44" s="1"/>
  <c r="A293" i="44" s="1"/>
  <c r="A294" i="44" s="1"/>
  <c r="A295" i="44" s="1"/>
  <c r="A296" i="44" s="1"/>
  <c r="A297" i="44" s="1"/>
  <c r="A298" i="44" s="1"/>
  <c r="A299" i="44" s="1"/>
  <c r="A300" i="44" s="1"/>
  <c r="A301" i="44" s="1"/>
  <c r="A302" i="44" s="1"/>
  <c r="A303" i="44" s="1"/>
  <c r="A304" i="44" s="1"/>
  <c r="A305" i="44" s="1"/>
  <c r="A306" i="44" s="1"/>
  <c r="A307" i="44" s="1"/>
  <c r="A308" i="44" s="1"/>
  <c r="A309" i="44" s="1"/>
  <c r="A310" i="44" s="1"/>
  <c r="A311" i="44" s="1"/>
  <c r="A312" i="44" s="1"/>
  <c r="A313" i="44" s="1"/>
  <c r="A314" i="44" s="1"/>
  <c r="V120" i="44"/>
  <c r="V121" i="44"/>
  <c r="V122" i="44"/>
  <c r="V123" i="44"/>
  <c r="V124" i="44"/>
  <c r="V125" i="44"/>
  <c r="V126" i="44"/>
  <c r="G120" i="44"/>
  <c r="G121" i="44"/>
  <c r="G122" i="44"/>
  <c r="G123" i="44"/>
  <c r="G124" i="44"/>
  <c r="G125" i="44"/>
  <c r="G126" i="44"/>
  <c r="D111" i="44" l="1"/>
  <c r="T111" i="44" s="1"/>
  <c r="U120" i="44"/>
  <c r="W120" i="44" s="1"/>
  <c r="U126" i="44"/>
  <c r="W126" i="44" s="1"/>
  <c r="U125" i="44"/>
  <c r="W125" i="44" s="1"/>
  <c r="U124" i="44"/>
  <c r="W124" i="44" s="1"/>
  <c r="U123" i="44"/>
  <c r="W123" i="44" s="1"/>
  <c r="U122" i="44"/>
  <c r="W122" i="44" s="1"/>
  <c r="U121" i="44"/>
  <c r="W121" i="44" s="1"/>
  <c r="A325" i="44"/>
  <c r="A326" i="44" s="1"/>
  <c r="A327" i="44" s="1"/>
  <c r="A328" i="44" s="1"/>
  <c r="A329" i="44" s="1"/>
  <c r="A330" i="44" s="1"/>
  <c r="A331" i="44" s="1"/>
  <c r="A332" i="44" s="1"/>
  <c r="A333" i="44" s="1"/>
  <c r="A334" i="44" s="1"/>
  <c r="A335" i="44" s="1"/>
  <c r="A336" i="44" s="1"/>
  <c r="A337" i="44" s="1"/>
  <c r="A338" i="44" s="1"/>
  <c r="A339" i="44" s="1"/>
  <c r="A340" i="44" s="1"/>
  <c r="A341" i="44" s="1"/>
  <c r="A342" i="44" s="1"/>
  <c r="A343" i="44" s="1"/>
  <c r="A344" i="44" s="1"/>
  <c r="A345" i="44" s="1"/>
  <c r="A346" i="44" s="1"/>
  <c r="A347" i="44" s="1"/>
  <c r="A348" i="44" s="1"/>
  <c r="A349" i="44" s="1"/>
  <c r="A350" i="44" s="1"/>
  <c r="A351" i="44" s="1"/>
  <c r="A352" i="44" s="1"/>
  <c r="A353" i="44" s="1"/>
  <c r="A354" i="44" s="1"/>
  <c r="A355" i="44" s="1"/>
  <c r="A356" i="44" s="1"/>
  <c r="A357" i="44" s="1"/>
  <c r="A358" i="44" s="1"/>
  <c r="A359" i="44" s="1"/>
  <c r="A360" i="44" s="1"/>
  <c r="A361" i="44" s="1"/>
  <c r="A362" i="44" s="1"/>
  <c r="A363" i="44" s="1"/>
  <c r="A364" i="44" s="1"/>
  <c r="A365" i="44" s="1"/>
  <c r="A366" i="44" s="1"/>
  <c r="A367" i="44" s="1"/>
  <c r="A368" i="44" s="1"/>
  <c r="A369" i="44" s="1"/>
  <c r="A370" i="44" s="1"/>
  <c r="A371" i="44" s="1"/>
  <c r="A372" i="44" s="1"/>
  <c r="A373" i="44" s="1"/>
  <c r="A374" i="44" s="1"/>
  <c r="A375" i="44" s="1"/>
  <c r="A376" i="44" s="1"/>
  <c r="A204" i="44"/>
  <c r="A205" i="44" s="1"/>
  <c r="A206" i="44" s="1"/>
  <c r="A207" i="44" s="1"/>
  <c r="A208" i="44" s="1"/>
  <c r="A209" i="44" s="1"/>
  <c r="A210" i="44" s="1"/>
  <c r="A211" i="44" s="1"/>
  <c r="A212" i="44" s="1"/>
  <c r="A213" i="44" s="1"/>
  <c r="A214" i="44" s="1"/>
  <c r="A215" i="44" s="1"/>
  <c r="A216" i="44" s="1"/>
  <c r="A217" i="44" s="1"/>
  <c r="A218" i="44" s="1"/>
  <c r="A219" i="44" s="1"/>
  <c r="A220" i="44" s="1"/>
  <c r="A221" i="44" s="1"/>
  <c r="A224" i="44" l="1"/>
  <c r="A225" i="44" s="1"/>
  <c r="A226" i="44" s="1"/>
  <c r="A227" i="44" s="1"/>
  <c r="A228" i="44" s="1"/>
  <c r="A229" i="44" s="1"/>
  <c r="A230" i="44" s="1"/>
  <c r="A231" i="44" s="1"/>
  <c r="A232" i="44" s="1"/>
  <c r="A233" i="44" s="1"/>
  <c r="A234" i="44" s="1"/>
  <c r="A235" i="44" s="1"/>
  <c r="A222" i="44"/>
  <c r="A223" i="44" s="1"/>
  <c r="A236" i="44"/>
  <c r="A237" i="44" s="1"/>
  <c r="A238" i="44" s="1"/>
  <c r="A239" i="44" s="1"/>
  <c r="A240" i="44" s="1"/>
  <c r="A241" i="44" s="1"/>
  <c r="A242" i="44" s="1"/>
  <c r="A243" i="44" s="1"/>
  <c r="A244" i="44" s="1"/>
  <c r="A245" i="44" s="1"/>
  <c r="A246" i="44" s="1"/>
  <c r="A247" i="44" s="1"/>
  <c r="A248" i="44" s="1"/>
  <c r="A249" i="44" s="1"/>
  <c r="A250" i="44" s="1"/>
  <c r="A251" i="44" s="1"/>
  <c r="A252" i="44" s="1"/>
  <c r="A253" i="44" s="1"/>
  <c r="A254" i="44" s="1"/>
  <c r="A255" i="44" s="1"/>
  <c r="O79" i="66"/>
  <c r="D79" i="66"/>
  <c r="O78" i="66"/>
  <c r="D78" i="66"/>
  <c r="O77" i="66"/>
  <c r="D77" i="66"/>
  <c r="O76" i="66"/>
  <c r="D76" i="66"/>
  <c r="O75" i="66" l="1"/>
  <c r="D75" i="66"/>
  <c r="O74" i="66" l="1"/>
  <c r="F26" i="44" l="1"/>
  <c r="G26" i="44" s="1"/>
  <c r="F39" i="44"/>
  <c r="G39" i="44" s="1"/>
  <c r="U39" i="44" s="1"/>
  <c r="W39" i="44" s="1"/>
  <c r="T39" i="44"/>
  <c r="V39" i="44" s="1"/>
  <c r="K624" i="44" l="1"/>
  <c r="K623" i="44"/>
  <c r="K591" i="44"/>
  <c r="E836" i="44"/>
  <c r="E1063" i="44"/>
  <c r="E662" i="44"/>
  <c r="E632" i="44"/>
  <c r="E857" i="44"/>
  <c r="E559" i="44"/>
  <c r="E944" i="44"/>
  <c r="E909" i="44"/>
  <c r="E588" i="44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 l="1"/>
  <c r="O59" i="66" l="1"/>
  <c r="O58" i="66"/>
  <c r="O57" i="66"/>
  <c r="O56" i="66"/>
  <c r="O55" i="66"/>
  <c r="O54" i="66"/>
  <c r="O53" i="66"/>
  <c r="O52" i="66"/>
  <c r="O51" i="66"/>
  <c r="O50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3" i="66"/>
  <c r="O32" i="66"/>
  <c r="O31" i="66"/>
  <c r="O30" i="66"/>
  <c r="O29" i="66"/>
  <c r="O28" i="66"/>
  <c r="O27" i="66"/>
  <c r="O26" i="66"/>
  <c r="O25" i="66"/>
  <c r="O24" i="66"/>
  <c r="O21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D59" i="66" l="1"/>
  <c r="D58" i="66"/>
  <c r="D57" i="66"/>
  <c r="D56" i="66"/>
  <c r="D55" i="66"/>
  <c r="D54" i="66"/>
  <c r="D53" i="66"/>
  <c r="D52" i="66"/>
  <c r="D51" i="66"/>
  <c r="D42" i="66"/>
  <c r="D30" i="66"/>
  <c r="D29" i="66"/>
  <c r="D28" i="66"/>
  <c r="D27" i="66"/>
  <c r="D26" i="66"/>
  <c r="D25" i="66"/>
  <c r="D24" i="66"/>
  <c r="D17" i="66"/>
  <c r="D16" i="66"/>
  <c r="D14" i="66"/>
  <c r="D13" i="66"/>
  <c r="D12" i="66"/>
  <c r="D11" i="66"/>
  <c r="D10" i="66"/>
  <c r="D9" i="66"/>
  <c r="D8" i="66"/>
  <c r="D7" i="66"/>
  <c r="D6" i="66"/>
  <c r="D5" i="66"/>
  <c r="D4" i="66"/>
  <c r="A4" i="66"/>
  <c r="A5" i="66" s="1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D54" i="51"/>
  <c r="D53" i="51"/>
  <c r="D52" i="51"/>
  <c r="D51" i="51"/>
  <c r="D50" i="51"/>
  <c r="D49" i="51"/>
  <c r="D48" i="51"/>
  <c r="D47" i="51"/>
  <c r="D46" i="51"/>
  <c r="D38" i="51"/>
  <c r="D28" i="51"/>
  <c r="D27" i="51"/>
  <c r="D26" i="51"/>
  <c r="D25" i="51"/>
  <c r="D24" i="51"/>
  <c r="D23" i="51"/>
  <c r="D22" i="51"/>
  <c r="D17" i="51"/>
  <c r="D16" i="51"/>
  <c r="D15" i="51"/>
  <c r="D14" i="51"/>
  <c r="D13" i="51"/>
  <c r="D12" i="51"/>
  <c r="D11" i="51"/>
  <c r="D10" i="51"/>
  <c r="D9" i="51"/>
  <c r="D8" i="51"/>
  <c r="D7" i="51"/>
  <c r="D6" i="51"/>
  <c r="D5" i="51"/>
  <c r="D3" i="51"/>
  <c r="B1" i="51"/>
  <c r="H54" i="51"/>
  <c r="H53" i="51"/>
  <c r="H52" i="51"/>
  <c r="H50" i="51"/>
  <c r="H48" i="51"/>
  <c r="H47" i="51"/>
  <c r="H45" i="51"/>
  <c r="H44" i="51"/>
  <c r="H43" i="51"/>
  <c r="H42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4" i="51"/>
  <c r="H13" i="51"/>
  <c r="H11" i="51"/>
  <c r="H6" i="51"/>
  <c r="H51" i="51"/>
  <c r="H49" i="51"/>
  <c r="H15" i="51"/>
  <c r="H10" i="51"/>
  <c r="H9" i="51"/>
  <c r="H8" i="51"/>
  <c r="H7" i="51"/>
  <c r="H5" i="51"/>
  <c r="H46" i="51"/>
  <c r="H17" i="51"/>
  <c r="H16" i="51"/>
  <c r="H12" i="51"/>
  <c r="H4" i="51"/>
  <c r="H3" i="51"/>
  <c r="G110" i="44" l="1"/>
  <c r="G109" i="44"/>
  <c r="G107" i="44"/>
  <c r="G103" i="44"/>
  <c r="G102" i="44"/>
  <c r="G101" i="44"/>
  <c r="G98" i="44"/>
  <c r="G96" i="44"/>
  <c r="G94" i="44"/>
  <c r="G93" i="44"/>
  <c r="G90" i="44"/>
  <c r="G89" i="44"/>
  <c r="G88" i="44"/>
  <c r="G87" i="44"/>
  <c r="G86" i="44"/>
  <c r="G85" i="44"/>
  <c r="G84" i="44"/>
  <c r="G83" i="44"/>
  <c r="G82" i="44"/>
  <c r="G81" i="44"/>
  <c r="G80" i="44"/>
  <c r="G79" i="44"/>
  <c r="G78" i="44"/>
  <c r="G76" i="44"/>
  <c r="G75" i="44"/>
  <c r="G74" i="44"/>
  <c r="G73" i="44"/>
  <c r="G72" i="44"/>
  <c r="G71" i="44"/>
  <c r="G69" i="44"/>
  <c r="G68" i="44"/>
  <c r="G67" i="44"/>
  <c r="G66" i="44"/>
  <c r="G65" i="44"/>
  <c r="G64" i="44"/>
  <c r="G63" i="44"/>
  <c r="G60" i="44"/>
  <c r="G58" i="44"/>
  <c r="G56" i="44"/>
  <c r="G55" i="44"/>
  <c r="G54" i="44"/>
  <c r="G52" i="44"/>
  <c r="G51" i="44"/>
  <c r="G50" i="44"/>
  <c r="G49" i="44"/>
  <c r="G48" i="44"/>
  <c r="G47" i="44"/>
  <c r="G46" i="44"/>
  <c r="G45" i="44"/>
  <c r="G44" i="44"/>
  <c r="G43" i="44"/>
  <c r="G42" i="44"/>
  <c r="G40" i="44"/>
  <c r="G38" i="44"/>
  <c r="G37" i="44"/>
  <c r="G35" i="44"/>
  <c r="G34" i="44"/>
  <c r="G33" i="44"/>
  <c r="G32" i="44"/>
  <c r="G31" i="44"/>
  <c r="G28" i="44"/>
  <c r="G27" i="44"/>
  <c r="G25" i="44"/>
  <c r="G24" i="44"/>
  <c r="G22" i="44" l="1"/>
  <c r="G59" i="44"/>
  <c r="T92" i="44"/>
  <c r="G92" i="44"/>
  <c r="T30" i="44"/>
  <c r="F30" i="44"/>
  <c r="G30" i="44" s="1"/>
  <c r="G61" i="44"/>
  <c r="F36" i="44"/>
  <c r="G36" i="44" s="1"/>
  <c r="F29" i="44"/>
  <c r="G29" i="44" s="1"/>
  <c r="F62" i="44"/>
  <c r="F70" i="44"/>
  <c r="G70" i="44" s="1"/>
  <c r="G95" i="44"/>
  <c r="T104" i="44"/>
  <c r="G104" i="44"/>
  <c r="G108" i="44"/>
  <c r="G23" i="44"/>
  <c r="F41" i="44"/>
  <c r="G41" i="44" s="1"/>
  <c r="G57" i="44"/>
  <c r="F99" i="44"/>
  <c r="G99" i="44" s="1"/>
  <c r="T91" i="44"/>
  <c r="G91" i="44"/>
  <c r="F100" i="44"/>
  <c r="G100" i="44" s="1"/>
  <c r="G53" i="44"/>
  <c r="V106" i="44"/>
  <c r="K50" i="66" s="1"/>
  <c r="W106" i="44"/>
  <c r="V139" i="44"/>
  <c r="G139" i="44"/>
  <c r="V137" i="44"/>
  <c r="G137" i="44"/>
  <c r="V136" i="44"/>
  <c r="G136" i="44"/>
  <c r="V135" i="44"/>
  <c r="G135" i="44"/>
  <c r="V133" i="44"/>
  <c r="G133" i="44"/>
  <c r="V132" i="44"/>
  <c r="G132" i="44"/>
  <c r="V131" i="44"/>
  <c r="G131" i="44"/>
  <c r="M50" i="51"/>
  <c r="M51" i="51"/>
  <c r="M52" i="51"/>
  <c r="M53" i="51"/>
  <c r="M54" i="51"/>
  <c r="M46" i="51"/>
  <c r="M47" i="51"/>
  <c r="M48" i="51"/>
  <c r="M49" i="51"/>
  <c r="A4" i="51"/>
  <c r="A5" i="51" s="1"/>
  <c r="A6" i="51" s="1"/>
  <c r="A7" i="51" s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U131" i="44" l="1"/>
  <c r="W131" i="44" s="1"/>
  <c r="U136" i="44"/>
  <c r="W136" i="44" s="1"/>
  <c r="U137" i="44"/>
  <c r="W137" i="44" s="1"/>
  <c r="U133" i="44"/>
  <c r="W133" i="44" s="1"/>
  <c r="U139" i="44"/>
  <c r="W139" i="44" s="1"/>
  <c r="U135" i="44"/>
  <c r="W135" i="44" s="1"/>
  <c r="U132" i="44"/>
  <c r="W132" i="44" s="1"/>
  <c r="C1" i="51"/>
  <c r="D1" i="51" s="1"/>
  <c r="E1" i="51" s="1"/>
  <c r="F1" i="51" s="1"/>
  <c r="G1" i="51" s="1"/>
  <c r="H1" i="51" s="1"/>
  <c r="I1" i="51" s="1"/>
  <c r="J1" i="51" s="1"/>
  <c r="K1" i="51" s="1"/>
  <c r="L1" i="51" s="1"/>
  <c r="M1" i="51" s="1"/>
  <c r="N1" i="51" s="1"/>
  <c r="O1" i="51" s="1"/>
  <c r="P1" i="51" s="1"/>
  <c r="Q1" i="51" s="1"/>
  <c r="R1" i="51" s="1"/>
  <c r="S1" i="51" s="1"/>
  <c r="T1" i="51" s="1"/>
  <c r="U1" i="51" s="1"/>
  <c r="V1" i="51" s="1"/>
  <c r="T112" i="44" l="1"/>
  <c r="G112" i="44" l="1"/>
  <c r="U112" i="44" s="1"/>
  <c r="V165" i="44"/>
  <c r="V164" i="44"/>
  <c r="V163" i="44"/>
  <c r="V162" i="44"/>
  <c r="V161" i="44"/>
  <c r="V160" i="44"/>
  <c r="V159" i="44"/>
  <c r="V158" i="44"/>
  <c r="V157" i="44"/>
  <c r="V156" i="44"/>
  <c r="V155" i="44"/>
  <c r="V154" i="44"/>
  <c r="V153" i="44"/>
  <c r="V152" i="44"/>
  <c r="V151" i="44"/>
  <c r="V150" i="44"/>
  <c r="V149" i="44"/>
  <c r="V148" i="44"/>
  <c r="V147" i="44"/>
  <c r="V146" i="44"/>
  <c r="V145" i="44"/>
  <c r="V144" i="44"/>
  <c r="V143" i="44"/>
  <c r="V142" i="44"/>
  <c r="G165" i="44"/>
  <c r="G164" i="44"/>
  <c r="G163" i="44"/>
  <c r="G162" i="44"/>
  <c r="G161" i="44"/>
  <c r="G160" i="44"/>
  <c r="G159" i="44"/>
  <c r="G158" i="44"/>
  <c r="G157" i="44"/>
  <c r="G156" i="44"/>
  <c r="G155" i="44"/>
  <c r="G154" i="44"/>
  <c r="G153" i="44"/>
  <c r="G152" i="44"/>
  <c r="G151" i="44"/>
  <c r="G150" i="44"/>
  <c r="G149" i="44"/>
  <c r="G148" i="44"/>
  <c r="G147" i="44"/>
  <c r="G146" i="44"/>
  <c r="G145" i="44"/>
  <c r="G144" i="44"/>
  <c r="G143" i="44"/>
  <c r="G142" i="44"/>
  <c r="U160" i="44" l="1"/>
  <c r="W160" i="44" s="1"/>
  <c r="U153" i="44"/>
  <c r="W153" i="44" s="1"/>
  <c r="U146" i="44"/>
  <c r="W146" i="44" s="1"/>
  <c r="U154" i="44"/>
  <c r="W154" i="44" s="1"/>
  <c r="U162" i="44"/>
  <c r="W162" i="44" s="1"/>
  <c r="U163" i="44"/>
  <c r="W163" i="44" s="1"/>
  <c r="U144" i="44"/>
  <c r="W144" i="44" s="1"/>
  <c r="U149" i="44"/>
  <c r="W149" i="44" s="1"/>
  <c r="U157" i="44"/>
  <c r="W157" i="44" s="1"/>
  <c r="U165" i="44"/>
  <c r="W165" i="44" s="1"/>
  <c r="U152" i="44"/>
  <c r="W152" i="44" s="1"/>
  <c r="U145" i="44"/>
  <c r="W145" i="44" s="1"/>
  <c r="U155" i="44"/>
  <c r="W155" i="44" s="1"/>
  <c r="U161" i="44"/>
  <c r="W161" i="44" s="1"/>
  <c r="U147" i="44"/>
  <c r="W147" i="44" s="1"/>
  <c r="U148" i="44"/>
  <c r="W148" i="44" s="1"/>
  <c r="U156" i="44"/>
  <c r="W156" i="44" s="1"/>
  <c r="U164" i="44"/>
  <c r="W164" i="44" s="1"/>
  <c r="U142" i="44"/>
  <c r="W142" i="44" s="1"/>
  <c r="U150" i="44"/>
  <c r="W150" i="44" s="1"/>
  <c r="U158" i="44"/>
  <c r="W158" i="44" s="1"/>
  <c r="U143" i="44"/>
  <c r="W143" i="44" s="1"/>
  <c r="U151" i="44"/>
  <c r="W151" i="44" s="1"/>
  <c r="U159" i="44"/>
  <c r="W159" i="44" s="1"/>
  <c r="G117" i="44"/>
  <c r="U117" i="44" s="1"/>
  <c r="B18" i="44" l="1"/>
  <c r="M3" i="51"/>
  <c r="M4" i="51"/>
  <c r="M5" i="51"/>
  <c r="M6" i="51"/>
  <c r="M7" i="51"/>
  <c r="M8" i="51"/>
  <c r="M9" i="51"/>
  <c r="M10" i="51"/>
  <c r="M11" i="51"/>
  <c r="M12" i="51"/>
  <c r="M13" i="51"/>
  <c r="M14" i="51"/>
  <c r="M15" i="51"/>
  <c r="M16" i="51"/>
  <c r="M17" i="51"/>
  <c r="M18" i="51"/>
  <c r="M19" i="51"/>
  <c r="M20" i="51"/>
  <c r="M21" i="51"/>
  <c r="M22" i="51"/>
  <c r="M23" i="51"/>
  <c r="M24" i="51"/>
  <c r="M25" i="51"/>
  <c r="M26" i="51"/>
  <c r="M27" i="51"/>
  <c r="M28" i="51"/>
  <c r="M29" i="51"/>
  <c r="M30" i="51"/>
  <c r="M31" i="51"/>
  <c r="M32" i="51"/>
  <c r="M33" i="51"/>
  <c r="M34" i="51"/>
  <c r="M35" i="51"/>
  <c r="M36" i="51"/>
  <c r="M37" i="51"/>
  <c r="M38" i="51"/>
  <c r="M39" i="51"/>
  <c r="M40" i="51"/>
  <c r="M41" i="51"/>
  <c r="M42" i="51"/>
  <c r="M43" i="51"/>
  <c r="M44" i="51"/>
  <c r="M45" i="51"/>
  <c r="G119" i="44"/>
  <c r="G118" i="44"/>
  <c r="V119" i="44"/>
  <c r="W117" i="44"/>
  <c r="V117" i="44"/>
  <c r="V116" i="44"/>
  <c r="G116" i="44"/>
  <c r="G115" i="44"/>
  <c r="U115" i="44" s="1"/>
  <c r="W115" i="44" s="1"/>
  <c r="V111" i="44"/>
  <c r="G111" i="44"/>
  <c r="A23" i="44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G130" i="44"/>
  <c r="W112" i="44"/>
  <c r="G127" i="44"/>
  <c r="T108" i="44"/>
  <c r="T95" i="44"/>
  <c r="T61" i="44"/>
  <c r="T59" i="44"/>
  <c r="T57" i="44"/>
  <c r="T23" i="44"/>
  <c r="T22" i="44"/>
  <c r="U104" i="44"/>
  <c r="U92" i="44"/>
  <c r="U91" i="44"/>
  <c r="U30" i="44"/>
  <c r="V130" i="44"/>
  <c r="V127" i="44"/>
  <c r="R3" i="66" s="1"/>
  <c r="V115" i="44"/>
  <c r="V112" i="44"/>
  <c r="A115" i="44" l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U5" i="66"/>
  <c r="U15" i="66"/>
  <c r="U27" i="66"/>
  <c r="U39" i="66"/>
  <c r="U50" i="66"/>
  <c r="U60" i="66"/>
  <c r="U70" i="66"/>
  <c r="U32" i="66"/>
  <c r="U6" i="66"/>
  <c r="U16" i="66"/>
  <c r="U28" i="66"/>
  <c r="U40" i="66"/>
  <c r="U51" i="66"/>
  <c r="U61" i="66"/>
  <c r="U71" i="66"/>
  <c r="U7" i="66"/>
  <c r="U17" i="66"/>
  <c r="U29" i="66"/>
  <c r="U41" i="66"/>
  <c r="U52" i="66"/>
  <c r="U62" i="66"/>
  <c r="U72" i="66"/>
  <c r="U44" i="66"/>
  <c r="U76" i="66"/>
  <c r="AJ28" i="44"/>
  <c r="AJ29" i="44" s="1"/>
  <c r="AJ30" i="44" s="1"/>
  <c r="U8" i="66"/>
  <c r="U18" i="66"/>
  <c r="U30" i="66"/>
  <c r="U42" i="66"/>
  <c r="U53" i="66"/>
  <c r="U63" i="66"/>
  <c r="U73" i="66"/>
  <c r="U75" i="66"/>
  <c r="U9" i="66"/>
  <c r="U19" i="66"/>
  <c r="U31" i="66"/>
  <c r="U43" i="66"/>
  <c r="U54" i="66"/>
  <c r="U64" i="66"/>
  <c r="U74" i="66"/>
  <c r="U65" i="66"/>
  <c r="U66" i="66"/>
  <c r="U10" i="66"/>
  <c r="U11" i="66"/>
  <c r="U21" i="66"/>
  <c r="U33" i="66"/>
  <c r="U45" i="66"/>
  <c r="U56" i="66"/>
  <c r="U12" i="66"/>
  <c r="U24" i="66"/>
  <c r="U36" i="66"/>
  <c r="U46" i="66"/>
  <c r="U57" i="66"/>
  <c r="U67" i="66"/>
  <c r="U13" i="66"/>
  <c r="U25" i="66"/>
  <c r="U37" i="66"/>
  <c r="U47" i="66"/>
  <c r="U58" i="66"/>
  <c r="U68" i="66"/>
  <c r="U78" i="66"/>
  <c r="U3" i="66"/>
  <c r="U4" i="66"/>
  <c r="U14" i="66"/>
  <c r="U26" i="66"/>
  <c r="U38" i="66"/>
  <c r="U48" i="66"/>
  <c r="U59" i="66"/>
  <c r="U69" i="66"/>
  <c r="U79" i="66"/>
  <c r="U55" i="66"/>
  <c r="U77" i="66"/>
  <c r="P48" i="66"/>
  <c r="Q48" i="66" s="1"/>
  <c r="P44" i="66"/>
  <c r="Q44" i="66" s="1"/>
  <c r="P43" i="66"/>
  <c r="Q43" i="66" s="1"/>
  <c r="P45" i="66"/>
  <c r="Q45" i="66" s="1"/>
  <c r="P46" i="66"/>
  <c r="Q46" i="66" s="1"/>
  <c r="P42" i="66"/>
  <c r="Q42" i="66" s="1"/>
  <c r="P30" i="66"/>
  <c r="Q30" i="66" s="1"/>
  <c r="P47" i="66"/>
  <c r="P50" i="66"/>
  <c r="Q50" i="66" s="1"/>
  <c r="P18" i="66"/>
  <c r="Q18" i="66" s="1"/>
  <c r="V3" i="66"/>
  <c r="U116" i="44"/>
  <c r="W116" i="44" s="1"/>
  <c r="U127" i="44"/>
  <c r="W127" i="44" s="1"/>
  <c r="U130" i="44"/>
  <c r="W130" i="44" s="1"/>
  <c r="U111" i="44"/>
  <c r="W111" i="44" s="1"/>
  <c r="S3" i="66" s="1"/>
  <c r="U118" i="44"/>
  <c r="U119" i="44"/>
  <c r="W119" i="44" s="1"/>
  <c r="T56" i="44"/>
  <c r="V56" i="44" s="1"/>
  <c r="E886" i="44" s="1"/>
  <c r="T81" i="44"/>
  <c r="T85" i="44"/>
  <c r="V85" i="44" s="1"/>
  <c r="T37" i="44"/>
  <c r="V37" i="44" s="1"/>
  <c r="K61" i="66" s="1"/>
  <c r="T83" i="44"/>
  <c r="V83" i="44" s="1"/>
  <c r="T60" i="44"/>
  <c r="V60" i="44" s="1"/>
  <c r="K51" i="66" s="1"/>
  <c r="T87" i="44"/>
  <c r="V87" i="44" s="1"/>
  <c r="T103" i="44"/>
  <c r="V103" i="44" s="1"/>
  <c r="K28" i="66" s="1"/>
  <c r="T38" i="44"/>
  <c r="V38" i="44" s="1"/>
  <c r="K5" i="66" s="1"/>
  <c r="T94" i="44"/>
  <c r="V94" i="44" s="1"/>
  <c r="U99" i="44"/>
  <c r="W99" i="44" s="1"/>
  <c r="T28" i="44"/>
  <c r="V28" i="44" s="1"/>
  <c r="E688" i="44" s="1"/>
  <c r="T34" i="44"/>
  <c r="V34" i="44" s="1"/>
  <c r="K57" i="66" s="1"/>
  <c r="U26" i="44"/>
  <c r="W26" i="44" s="1"/>
  <c r="U100" i="44"/>
  <c r="W100" i="44" s="1"/>
  <c r="U70" i="44"/>
  <c r="W70" i="44" s="1"/>
  <c r="T78" i="44"/>
  <c r="V78" i="44" s="1"/>
  <c r="K621" i="44" s="1"/>
  <c r="T24" i="44"/>
  <c r="V24" i="44" s="1"/>
  <c r="E1050" i="44" s="1"/>
  <c r="T42" i="44"/>
  <c r="V42" i="44" s="1"/>
  <c r="K12" i="66" s="1"/>
  <c r="T67" i="44"/>
  <c r="V67" i="44" s="1"/>
  <c r="T80" i="44"/>
  <c r="V80" i="44" s="1"/>
  <c r="K26" i="66" s="1"/>
  <c r="U36" i="44"/>
  <c r="W36" i="44" s="1"/>
  <c r="T44" i="44"/>
  <c r="V44" i="44" s="1"/>
  <c r="K59" i="66" s="1"/>
  <c r="T29" i="44"/>
  <c r="T46" i="44"/>
  <c r="V46" i="44" s="1"/>
  <c r="T64" i="44"/>
  <c r="V64" i="44" s="1"/>
  <c r="K598" i="44" s="1"/>
  <c r="T55" i="44"/>
  <c r="T82" i="44"/>
  <c r="V82" i="44" s="1"/>
  <c r="T84" i="44"/>
  <c r="V84" i="44" s="1"/>
  <c r="T86" i="44"/>
  <c r="V86" i="44" s="1"/>
  <c r="T99" i="44"/>
  <c r="V99" i="44" s="1"/>
  <c r="K17" i="66" s="1"/>
  <c r="T100" i="44"/>
  <c r="V100" i="44" s="1"/>
  <c r="K54" i="66" s="1"/>
  <c r="T101" i="44"/>
  <c r="V101" i="44" s="1"/>
  <c r="U29" i="44"/>
  <c r="W29" i="44" s="1"/>
  <c r="T41" i="44"/>
  <c r="V41" i="44" s="1"/>
  <c r="T76" i="44"/>
  <c r="V76" i="44" s="1"/>
  <c r="T26" i="44"/>
  <c r="V26" i="44" s="1"/>
  <c r="T35" i="44"/>
  <c r="V35" i="44" s="1"/>
  <c r="E1052" i="44" s="1"/>
  <c r="U41" i="44"/>
  <c r="W41" i="44" s="1"/>
  <c r="U65" i="44"/>
  <c r="W65" i="44" s="1"/>
  <c r="T97" i="44"/>
  <c r="V97" i="44" s="1"/>
  <c r="K42" i="66" s="1"/>
  <c r="U97" i="44"/>
  <c r="W97" i="44" s="1"/>
  <c r="T40" i="44"/>
  <c r="V40" i="44" s="1"/>
  <c r="E558" i="44" s="1"/>
  <c r="T47" i="44"/>
  <c r="V47" i="44" s="1"/>
  <c r="K56" i="66" s="1"/>
  <c r="T49" i="44"/>
  <c r="V49" i="44" s="1"/>
  <c r="T73" i="44"/>
  <c r="V73" i="44" s="1"/>
  <c r="K78" i="66" s="1"/>
  <c r="T75" i="44"/>
  <c r="V75" i="44" s="1"/>
  <c r="K60" i="66" s="1"/>
  <c r="T93" i="44"/>
  <c r="V93" i="44" s="1"/>
  <c r="T107" i="44"/>
  <c r="V107" i="44" s="1"/>
  <c r="E1066" i="44" s="1"/>
  <c r="T25" i="44"/>
  <c r="V25" i="44" s="1"/>
  <c r="E840" i="44" s="1"/>
  <c r="T36" i="44"/>
  <c r="V36" i="44" s="1"/>
  <c r="T45" i="44"/>
  <c r="V45" i="44" s="1"/>
  <c r="E1057" i="44" s="1"/>
  <c r="T65" i="44"/>
  <c r="V65" i="44" s="1"/>
  <c r="T66" i="44"/>
  <c r="V66" i="44" s="1"/>
  <c r="T68" i="44"/>
  <c r="V68" i="44" s="1"/>
  <c r="K14" i="66" s="1"/>
  <c r="T70" i="44"/>
  <c r="V70" i="44" s="1"/>
  <c r="T79" i="44"/>
  <c r="V79" i="44" s="1"/>
  <c r="K24" i="66" s="1"/>
  <c r="T89" i="44"/>
  <c r="V89" i="44" s="1"/>
  <c r="K27" i="66" s="1"/>
  <c r="Q47" i="66"/>
  <c r="R6" i="66"/>
  <c r="R14" i="66"/>
  <c r="R24" i="66"/>
  <c r="R32" i="66"/>
  <c r="R42" i="66"/>
  <c r="R51" i="66"/>
  <c r="R59" i="66"/>
  <c r="R67" i="66"/>
  <c r="R75" i="66"/>
  <c r="R65" i="66"/>
  <c r="R5" i="66"/>
  <c r="R50" i="66"/>
  <c r="R7" i="66"/>
  <c r="R15" i="66"/>
  <c r="R25" i="66"/>
  <c r="R33" i="66"/>
  <c r="R43" i="66"/>
  <c r="R52" i="66"/>
  <c r="R60" i="66"/>
  <c r="R68" i="66"/>
  <c r="R76" i="66"/>
  <c r="R41" i="66"/>
  <c r="R66" i="66"/>
  <c r="R8" i="66"/>
  <c r="R16" i="66"/>
  <c r="R26" i="66"/>
  <c r="R36" i="66"/>
  <c r="R44" i="66"/>
  <c r="R53" i="66"/>
  <c r="R61" i="66"/>
  <c r="R69" i="66"/>
  <c r="R77" i="66"/>
  <c r="R19" i="66"/>
  <c r="R56" i="66"/>
  <c r="R30" i="66"/>
  <c r="R57" i="66"/>
  <c r="R13" i="66"/>
  <c r="R58" i="66"/>
  <c r="R9" i="66"/>
  <c r="R17" i="66"/>
  <c r="R27" i="66"/>
  <c r="R37" i="66"/>
  <c r="R45" i="66"/>
  <c r="R54" i="66"/>
  <c r="R62" i="66"/>
  <c r="R70" i="66"/>
  <c r="R78" i="66"/>
  <c r="R29" i="66"/>
  <c r="R47" i="66"/>
  <c r="R72" i="66"/>
  <c r="R4" i="66"/>
  <c r="R40" i="66"/>
  <c r="R73" i="66"/>
  <c r="R21" i="66"/>
  <c r="R74" i="66"/>
  <c r="R10" i="66"/>
  <c r="R18" i="66"/>
  <c r="R28" i="66"/>
  <c r="R38" i="66"/>
  <c r="R46" i="66"/>
  <c r="R55" i="66"/>
  <c r="R63" i="66"/>
  <c r="R71" i="66"/>
  <c r="R79" i="66"/>
  <c r="R11" i="66"/>
  <c r="R39" i="66"/>
  <c r="R64" i="66"/>
  <c r="R12" i="66"/>
  <c r="R48" i="66"/>
  <c r="R31" i="66"/>
  <c r="S50" i="66"/>
  <c r="S51" i="66"/>
  <c r="S75" i="66"/>
  <c r="S65" i="66"/>
  <c r="S60" i="66"/>
  <c r="S18" i="66"/>
  <c r="S46" i="66"/>
  <c r="S8" i="66"/>
  <c r="S36" i="66"/>
  <c r="S44" i="66"/>
  <c r="S28" i="66"/>
  <c r="S11" i="66"/>
  <c r="S39" i="66"/>
  <c r="S37" i="66"/>
  <c r="S62" i="66"/>
  <c r="S70" i="66"/>
  <c r="S12" i="66"/>
  <c r="V4" i="66"/>
  <c r="V12" i="66"/>
  <c r="V30" i="66"/>
  <c r="V40" i="66"/>
  <c r="V48" i="66"/>
  <c r="V57" i="66"/>
  <c r="V65" i="66"/>
  <c r="V73" i="66"/>
  <c r="V38" i="66"/>
  <c r="V55" i="66"/>
  <c r="V79" i="66"/>
  <c r="V11" i="66"/>
  <c r="V64" i="66"/>
  <c r="V5" i="66"/>
  <c r="V13" i="66"/>
  <c r="V21" i="66"/>
  <c r="V31" i="66"/>
  <c r="V41" i="66"/>
  <c r="V50" i="66"/>
  <c r="V58" i="66"/>
  <c r="V66" i="66"/>
  <c r="V74" i="66"/>
  <c r="V47" i="66"/>
  <c r="V6" i="66"/>
  <c r="V14" i="66"/>
  <c r="V24" i="66"/>
  <c r="V32" i="66"/>
  <c r="V42" i="66"/>
  <c r="V51" i="66"/>
  <c r="V59" i="66"/>
  <c r="V67" i="66"/>
  <c r="V75" i="66"/>
  <c r="V9" i="66"/>
  <c r="V45" i="66"/>
  <c r="V70" i="66"/>
  <c r="V28" i="66"/>
  <c r="V71" i="66"/>
  <c r="V39" i="66"/>
  <c r="V72" i="66"/>
  <c r="V7" i="66"/>
  <c r="V15" i="66"/>
  <c r="V25" i="66"/>
  <c r="V33" i="66"/>
  <c r="V43" i="66"/>
  <c r="V52" i="66"/>
  <c r="V60" i="66"/>
  <c r="V68" i="66"/>
  <c r="V76" i="66"/>
  <c r="V17" i="66"/>
  <c r="V62" i="66"/>
  <c r="V10" i="66"/>
  <c r="V46" i="66"/>
  <c r="V19" i="66"/>
  <c r="V8" i="66"/>
  <c r="V16" i="66"/>
  <c r="V26" i="66"/>
  <c r="V36" i="66"/>
  <c r="V44" i="66"/>
  <c r="V53" i="66"/>
  <c r="V61" i="66"/>
  <c r="V69" i="66"/>
  <c r="V77" i="66"/>
  <c r="V27" i="66"/>
  <c r="V37" i="66"/>
  <c r="V54" i="66"/>
  <c r="V78" i="66"/>
  <c r="V18" i="66"/>
  <c r="V63" i="66"/>
  <c r="V29" i="66"/>
  <c r="V56" i="66"/>
  <c r="V22" i="44"/>
  <c r="E1049" i="44" s="1"/>
  <c r="V118" i="44"/>
  <c r="N4" i="51" s="1"/>
  <c r="O4" i="51" s="1"/>
  <c r="T54" i="44"/>
  <c r="V61" i="44"/>
  <c r="E566" i="44" s="1"/>
  <c r="U107" i="44"/>
  <c r="U59" i="44"/>
  <c r="U108" i="44"/>
  <c r="U54" i="44"/>
  <c r="W54" i="44" s="1"/>
  <c r="V104" i="44"/>
  <c r="K29" i="66" s="1"/>
  <c r="T71" i="44"/>
  <c r="V71" i="44" s="1"/>
  <c r="U53" i="44"/>
  <c r="S3" i="51"/>
  <c r="S49" i="51"/>
  <c r="S21" i="51"/>
  <c r="S45" i="51"/>
  <c r="S39" i="51"/>
  <c r="S32" i="51"/>
  <c r="S25" i="51"/>
  <c r="S36" i="51"/>
  <c r="S22" i="51"/>
  <c r="S26" i="51"/>
  <c r="S20" i="51"/>
  <c r="S8" i="51"/>
  <c r="S34" i="51"/>
  <c r="S17" i="51"/>
  <c r="S10" i="51"/>
  <c r="S11" i="51"/>
  <c r="S28" i="51"/>
  <c r="S41" i="51"/>
  <c r="S38" i="51"/>
  <c r="S6" i="51"/>
  <c r="S18" i="51"/>
  <c r="S19" i="51"/>
  <c r="S43" i="51"/>
  <c r="S53" i="51"/>
  <c r="S7" i="51"/>
  <c r="S15" i="51"/>
  <c r="S29" i="51"/>
  <c r="S52" i="51"/>
  <c r="S35" i="51"/>
  <c r="S5" i="51"/>
  <c r="S9" i="51"/>
  <c r="S14" i="51"/>
  <c r="S27" i="51"/>
  <c r="S46" i="51"/>
  <c r="S24" i="51"/>
  <c r="S16" i="51"/>
  <c r="S48" i="51"/>
  <c r="S50" i="51"/>
  <c r="S12" i="51"/>
  <c r="S40" i="51"/>
  <c r="S44" i="51"/>
  <c r="S47" i="51"/>
  <c r="S31" i="51"/>
  <c r="S51" i="51"/>
  <c r="S13" i="51"/>
  <c r="S42" i="51"/>
  <c r="S37" i="51"/>
  <c r="S54" i="51"/>
  <c r="S33" i="51"/>
  <c r="T52" i="51"/>
  <c r="T48" i="51"/>
  <c r="T50" i="51"/>
  <c r="T54" i="51"/>
  <c r="T46" i="51"/>
  <c r="T51" i="51"/>
  <c r="T53" i="51"/>
  <c r="T49" i="51"/>
  <c r="T47" i="51"/>
  <c r="S30" i="51"/>
  <c r="S4" i="51"/>
  <c r="S23" i="51"/>
  <c r="C18" i="44"/>
  <c r="D18" i="44" s="1"/>
  <c r="E18" i="44" s="1"/>
  <c r="F18" i="44" s="1"/>
  <c r="G18" i="44" s="1"/>
  <c r="H18" i="44" s="1"/>
  <c r="I18" i="44" s="1"/>
  <c r="J18" i="44" s="1"/>
  <c r="K18" i="44" s="1"/>
  <c r="L18" i="44" s="1"/>
  <c r="M18" i="44" s="1"/>
  <c r="N18" i="44" s="1"/>
  <c r="O18" i="44" s="1"/>
  <c r="P18" i="44" s="1"/>
  <c r="Q18" i="44" s="1"/>
  <c r="R18" i="44" s="1"/>
  <c r="S18" i="44" s="1"/>
  <c r="T18" i="44" s="1"/>
  <c r="U18" i="44" s="1"/>
  <c r="V18" i="44" s="1"/>
  <c r="W18" i="44" s="1"/>
  <c r="T43" i="51"/>
  <c r="T27" i="51"/>
  <c r="T11" i="51"/>
  <c r="T42" i="51"/>
  <c r="T22" i="51"/>
  <c r="T6" i="51"/>
  <c r="T36" i="51"/>
  <c r="T16" i="51"/>
  <c r="T25" i="51"/>
  <c r="T24" i="51"/>
  <c r="T45" i="51"/>
  <c r="T31" i="51"/>
  <c r="T12" i="51"/>
  <c r="T40" i="51"/>
  <c r="E45" i="51"/>
  <c r="F45" i="51" s="1"/>
  <c r="T38" i="51"/>
  <c r="T39" i="51"/>
  <c r="T23" i="51"/>
  <c r="T7" i="51"/>
  <c r="T34" i="51"/>
  <c r="T18" i="51"/>
  <c r="T28" i="51"/>
  <c r="T8" i="51"/>
  <c r="T37" i="51"/>
  <c r="T17" i="51"/>
  <c r="T29" i="51"/>
  <c r="T13" i="51"/>
  <c r="T15" i="51"/>
  <c r="T10" i="51"/>
  <c r="T32" i="51"/>
  <c r="T5" i="51"/>
  <c r="T4" i="51"/>
  <c r="T35" i="51"/>
  <c r="T19" i="51"/>
  <c r="T30" i="51"/>
  <c r="T14" i="51"/>
  <c r="T20" i="51"/>
  <c r="T21" i="51"/>
  <c r="T41" i="51"/>
  <c r="T9" i="51"/>
  <c r="T3" i="51"/>
  <c r="T26" i="51"/>
  <c r="T44" i="51"/>
  <c r="T33" i="51"/>
  <c r="N41" i="51"/>
  <c r="O41" i="51" s="1"/>
  <c r="N37" i="51"/>
  <c r="O37" i="51" s="1"/>
  <c r="N40" i="51"/>
  <c r="O40" i="51" s="1"/>
  <c r="N39" i="51"/>
  <c r="O39" i="51" s="1"/>
  <c r="N38" i="51"/>
  <c r="O38" i="51" s="1"/>
  <c r="N42" i="51"/>
  <c r="O42" i="51" s="1"/>
  <c r="N33" i="51"/>
  <c r="O33" i="51" s="1"/>
  <c r="N29" i="51"/>
  <c r="O29" i="51" s="1"/>
  <c r="N25" i="51"/>
  <c r="O25" i="51" s="1"/>
  <c r="N21" i="51"/>
  <c r="O21" i="51" s="1"/>
  <c r="N44" i="51"/>
  <c r="O44" i="51" s="1"/>
  <c r="N36" i="51"/>
  <c r="O36" i="51" s="1"/>
  <c r="N32" i="51"/>
  <c r="O32" i="51" s="1"/>
  <c r="N28" i="51"/>
  <c r="O28" i="51" s="1"/>
  <c r="N24" i="51"/>
  <c r="O24" i="51" s="1"/>
  <c r="N20" i="51"/>
  <c r="O20" i="51" s="1"/>
  <c r="N43" i="51"/>
  <c r="O43" i="51" s="1"/>
  <c r="N35" i="51"/>
  <c r="O35" i="51" s="1"/>
  <c r="N27" i="51"/>
  <c r="O27" i="51" s="1"/>
  <c r="N19" i="51"/>
  <c r="O19" i="51" s="1"/>
  <c r="N22" i="51"/>
  <c r="O22" i="51" s="1"/>
  <c r="N34" i="51"/>
  <c r="O34" i="51" s="1"/>
  <c r="N26" i="51"/>
  <c r="O26" i="51" s="1"/>
  <c r="N31" i="51"/>
  <c r="O31" i="51" s="1"/>
  <c r="N30" i="51"/>
  <c r="O30" i="51" s="1"/>
  <c r="N17" i="51"/>
  <c r="O17" i="51" s="1"/>
  <c r="N13" i="51"/>
  <c r="O13" i="51" s="1"/>
  <c r="N9" i="51"/>
  <c r="O9" i="51" s="1"/>
  <c r="N5" i="51"/>
  <c r="O5" i="51" s="1"/>
  <c r="N16" i="51"/>
  <c r="O16" i="51" s="1"/>
  <c r="N12" i="51"/>
  <c r="O12" i="51" s="1"/>
  <c r="N8" i="51"/>
  <c r="O8" i="51" s="1"/>
  <c r="N11" i="51"/>
  <c r="O11" i="51" s="1"/>
  <c r="N3" i="51"/>
  <c r="O3" i="51" s="1"/>
  <c r="N15" i="51"/>
  <c r="O15" i="51" s="1"/>
  <c r="N7" i="51"/>
  <c r="O7" i="51" s="1"/>
  <c r="N6" i="51"/>
  <c r="O6" i="51" s="1"/>
  <c r="N18" i="51"/>
  <c r="O18" i="51" s="1"/>
  <c r="N10" i="51"/>
  <c r="O10" i="51" s="1"/>
  <c r="N14" i="51"/>
  <c r="O14" i="51" s="1"/>
  <c r="V23" i="44"/>
  <c r="K30" i="66" s="1"/>
  <c r="V30" i="44"/>
  <c r="W30" i="44"/>
  <c r="V55" i="44"/>
  <c r="E816" i="44" s="1"/>
  <c r="V57" i="44"/>
  <c r="V59" i="44"/>
  <c r="V81" i="44"/>
  <c r="V91" i="44"/>
  <c r="V92" i="44"/>
  <c r="V95" i="44"/>
  <c r="V108" i="44"/>
  <c r="E823" i="44" s="1"/>
  <c r="K7" i="66" l="1"/>
  <c r="K618" i="44"/>
  <c r="K16" i="66"/>
  <c r="K631" i="44"/>
  <c r="K6" i="66"/>
  <c r="K626" i="44"/>
  <c r="K625" i="44"/>
  <c r="K15" i="66"/>
  <c r="K630" i="44"/>
  <c r="K53" i="66"/>
  <c r="K622" i="44"/>
  <c r="K602" i="44"/>
  <c r="K9" i="66"/>
  <c r="K601" i="44"/>
  <c r="K25" i="66"/>
  <c r="E1107" i="44"/>
  <c r="E1108" i="44" s="1"/>
  <c r="K8" i="66"/>
  <c r="K606" i="44"/>
  <c r="S64" i="66"/>
  <c r="AB64" i="66" s="1"/>
  <c r="AC64" i="66" s="1"/>
  <c r="AD64" i="66" s="1"/>
  <c r="S27" i="66"/>
  <c r="S10" i="66"/>
  <c r="S40" i="66"/>
  <c r="S52" i="66"/>
  <c r="S32" i="66"/>
  <c r="S41" i="66"/>
  <c r="S19" i="66"/>
  <c r="S17" i="66"/>
  <c r="S77" i="66"/>
  <c r="S72" i="66"/>
  <c r="X72" i="66" s="1"/>
  <c r="AA72" i="66" s="1"/>
  <c r="S33" i="66"/>
  <c r="S24" i="66"/>
  <c r="S31" i="66"/>
  <c r="S63" i="66"/>
  <c r="S9" i="66"/>
  <c r="S69" i="66"/>
  <c r="X69" i="66" s="1"/>
  <c r="Y69" i="66" s="1"/>
  <c r="S47" i="66"/>
  <c r="S25" i="66"/>
  <c r="S14" i="66"/>
  <c r="S21" i="66"/>
  <c r="S38" i="66"/>
  <c r="S57" i="66"/>
  <c r="S61" i="66"/>
  <c r="S29" i="66"/>
  <c r="S15" i="66"/>
  <c r="S6" i="66"/>
  <c r="S13" i="66"/>
  <c r="S78" i="66"/>
  <c r="S4" i="66"/>
  <c r="S53" i="66"/>
  <c r="S71" i="66"/>
  <c r="AB71" i="66" s="1"/>
  <c r="AC71" i="66" s="1"/>
  <c r="AD71" i="66" s="1"/>
  <c r="S7" i="66"/>
  <c r="S48" i="66"/>
  <c r="S5" i="66"/>
  <c r="S56" i="66"/>
  <c r="S73" i="66"/>
  <c r="AB73" i="66" s="1"/>
  <c r="AC73" i="66" s="1"/>
  <c r="AD73" i="66" s="1"/>
  <c r="S54" i="66"/>
  <c r="S79" i="66"/>
  <c r="S26" i="66"/>
  <c r="S76" i="66"/>
  <c r="S67" i="66"/>
  <c r="AB67" i="66" s="1"/>
  <c r="AC67" i="66" s="1"/>
  <c r="AD67" i="66" s="1"/>
  <c r="S74" i="66"/>
  <c r="AB74" i="66" s="1"/>
  <c r="AC74" i="66" s="1"/>
  <c r="AD74" i="66" s="1"/>
  <c r="S30" i="66"/>
  <c r="S45" i="66"/>
  <c r="S55" i="66"/>
  <c r="S16" i="66"/>
  <c r="S68" i="66"/>
  <c r="AB68" i="66" s="1"/>
  <c r="AC68" i="66" s="1"/>
  <c r="AD68" i="66" s="1"/>
  <c r="S59" i="66"/>
  <c r="S66" i="66"/>
  <c r="AB66" i="66" s="1"/>
  <c r="AC66" i="66" s="1"/>
  <c r="AD66" i="66" s="1"/>
  <c r="S43" i="66"/>
  <c r="S42" i="66"/>
  <c r="AB42" i="66" s="1"/>
  <c r="AC42" i="66" s="1"/>
  <c r="AD42" i="66" s="1"/>
  <c r="S58" i="66"/>
  <c r="K617" i="44"/>
  <c r="P55" i="66"/>
  <c r="Q55" i="66" s="1"/>
  <c r="P16" i="66"/>
  <c r="Q16" i="66" s="1"/>
  <c r="P54" i="66"/>
  <c r="Q54" i="66" s="1"/>
  <c r="P25" i="66"/>
  <c r="Q25" i="66" s="1"/>
  <c r="P13" i="66"/>
  <c r="Q13" i="66" s="1"/>
  <c r="P7" i="66"/>
  <c r="Q7" i="66" s="1"/>
  <c r="P38" i="66"/>
  <c r="Q38" i="66" s="1"/>
  <c r="P37" i="66"/>
  <c r="Q37" i="66" s="1"/>
  <c r="P4" i="66"/>
  <c r="Q4" i="66" s="1"/>
  <c r="P29" i="66"/>
  <c r="Q29" i="66" s="1"/>
  <c r="P39" i="66"/>
  <c r="Q39" i="66" s="1"/>
  <c r="P26" i="66"/>
  <c r="Q26" i="66" s="1"/>
  <c r="P8" i="66"/>
  <c r="Q8" i="66" s="1"/>
  <c r="K595" i="44"/>
  <c r="P6" i="66"/>
  <c r="Q6" i="66" s="1"/>
  <c r="P41" i="66"/>
  <c r="Q41" i="66" s="1"/>
  <c r="P15" i="66"/>
  <c r="Q15" i="66" s="1"/>
  <c r="P27" i="66"/>
  <c r="Q27" i="66" s="1"/>
  <c r="P9" i="66"/>
  <c r="Q9" i="66" s="1"/>
  <c r="P36" i="66"/>
  <c r="Q36" i="66" s="1"/>
  <c r="P52" i="66"/>
  <c r="Q52" i="66" s="1"/>
  <c r="P32" i="66"/>
  <c r="Q32" i="66" s="1"/>
  <c r="P3" i="66"/>
  <c r="Q3" i="66" s="1"/>
  <c r="P14" i="66"/>
  <c r="Q14" i="66" s="1"/>
  <c r="P33" i="66"/>
  <c r="Q33" i="66" s="1"/>
  <c r="P12" i="66"/>
  <c r="Q12" i="66" s="1"/>
  <c r="AJ31" i="44"/>
  <c r="AJ34" i="44"/>
  <c r="AJ35" i="44" s="1"/>
  <c r="AJ33" i="44"/>
  <c r="AJ32" i="44"/>
  <c r="P5" i="66"/>
  <c r="Q5" i="66" s="1"/>
  <c r="P10" i="66"/>
  <c r="Q10" i="66" s="1"/>
  <c r="P40" i="66"/>
  <c r="Q40" i="66" s="1"/>
  <c r="P51" i="66"/>
  <c r="Q51" i="66" s="1"/>
  <c r="P75" i="66"/>
  <c r="Q75" i="66" s="1"/>
  <c r="P21" i="66"/>
  <c r="Q21" i="66" s="1"/>
  <c r="P17" i="66"/>
  <c r="Q17" i="66" s="1"/>
  <c r="P28" i="66"/>
  <c r="Q28" i="66" s="1"/>
  <c r="P19" i="66"/>
  <c r="Q19" i="66" s="1"/>
  <c r="P11" i="66"/>
  <c r="Q11" i="66" s="1"/>
  <c r="P31" i="66"/>
  <c r="Q31" i="66" s="1"/>
  <c r="P53" i="66"/>
  <c r="Q53" i="66" s="1"/>
  <c r="P24" i="66"/>
  <c r="Q24" i="66" s="1"/>
  <c r="AB50" i="66"/>
  <c r="AC50" i="66" s="1"/>
  <c r="AD50" i="66" s="1"/>
  <c r="AB70" i="66"/>
  <c r="AC70" i="66" s="1"/>
  <c r="AD70" i="66" s="1"/>
  <c r="AB65" i="66"/>
  <c r="AC65" i="66" s="1"/>
  <c r="AD65" i="66" s="1"/>
  <c r="E570" i="44"/>
  <c r="W118" i="44"/>
  <c r="K590" i="44"/>
  <c r="K599" i="44"/>
  <c r="K592" i="44"/>
  <c r="K605" i="44"/>
  <c r="K604" i="44"/>
  <c r="K593" i="44"/>
  <c r="K587" i="44"/>
  <c r="K600" i="44"/>
  <c r="N50" i="51"/>
  <c r="O50" i="51" s="1"/>
  <c r="N51" i="51"/>
  <c r="O51" i="51" s="1"/>
  <c r="N53" i="51"/>
  <c r="O53" i="51" s="1"/>
  <c r="Q53" i="51"/>
  <c r="Q45" i="51"/>
  <c r="Q54" i="51"/>
  <c r="Q7" i="51"/>
  <c r="Q51" i="51"/>
  <c r="Q39" i="51"/>
  <c r="Q28" i="51"/>
  <c r="Q3" i="51"/>
  <c r="Q46" i="51"/>
  <c r="Q17" i="51"/>
  <c r="Q26" i="51"/>
  <c r="Q34" i="51"/>
  <c r="N45" i="51"/>
  <c r="O45" i="51" s="1"/>
  <c r="N23" i="51"/>
  <c r="O23" i="51" s="1"/>
  <c r="N48" i="51"/>
  <c r="O48" i="51" s="1"/>
  <c r="N54" i="51"/>
  <c r="O54" i="51" s="1"/>
  <c r="Q35" i="51"/>
  <c r="Q47" i="51"/>
  <c r="Q4" i="51"/>
  <c r="Q32" i="51"/>
  <c r="Q25" i="51"/>
  <c r="N49" i="51"/>
  <c r="O49" i="51" s="1"/>
  <c r="N46" i="51"/>
  <c r="O46" i="51" s="1"/>
  <c r="E592" i="44"/>
  <c r="E567" i="44"/>
  <c r="E641" i="44"/>
  <c r="E917" i="44"/>
  <c r="E834" i="44"/>
  <c r="E913" i="44"/>
  <c r="E1058" i="44"/>
  <c r="E861" i="44"/>
  <c r="E814" i="44"/>
  <c r="E563" i="44"/>
  <c r="E884" i="44"/>
  <c r="E637" i="44"/>
  <c r="E1035" i="44"/>
  <c r="E1016" i="44"/>
  <c r="E998" i="44"/>
  <c r="E997" i="44"/>
  <c r="E988" i="44"/>
  <c r="E970" i="44"/>
  <c r="E1020" i="44"/>
  <c r="E984" i="44"/>
  <c r="E1040" i="44"/>
  <c r="E1003" i="44"/>
  <c r="E584" i="44"/>
  <c r="E1033" i="44"/>
  <c r="E1031" i="44"/>
  <c r="E1004" i="44"/>
  <c r="E986" i="44"/>
  <c r="E904" i="44"/>
  <c r="E853" i="44"/>
  <c r="E1005" i="44"/>
  <c r="E1036" i="44"/>
  <c r="E1017" i="44"/>
  <c r="E999" i="44"/>
  <c r="E981" i="44"/>
  <c r="E980" i="44"/>
  <c r="E971" i="44"/>
  <c r="E967" i="44"/>
  <c r="E1034" i="44"/>
  <c r="E1015" i="44"/>
  <c r="E1014" i="44"/>
  <c r="E969" i="44"/>
  <c r="E1037" i="44"/>
  <c r="E1018" i="44"/>
  <c r="E1000" i="44"/>
  <c r="E982" i="44"/>
  <c r="E964" i="44"/>
  <c r="E963" i="44"/>
  <c r="E554" i="44"/>
  <c r="E1032" i="44"/>
  <c r="E1021" i="44"/>
  <c r="E987" i="44"/>
  <c r="E1038" i="44"/>
  <c r="E1019" i="44"/>
  <c r="E1001" i="44"/>
  <c r="E983" i="44"/>
  <c r="E965" i="44"/>
  <c r="E936" i="44"/>
  <c r="E656" i="44"/>
  <c r="E1039" i="44"/>
  <c r="E1002" i="44"/>
  <c r="E966" i="44"/>
  <c r="E985" i="44"/>
  <c r="E1022" i="44"/>
  <c r="E968" i="44"/>
  <c r="E770" i="44"/>
  <c r="E915" i="44"/>
  <c r="E661" i="44"/>
  <c r="E682" i="44"/>
  <c r="E618" i="44"/>
  <c r="E818" i="44"/>
  <c r="E771" i="44"/>
  <c r="E751" i="44"/>
  <c r="E557" i="44"/>
  <c r="E587" i="44"/>
  <c r="E916" i="44"/>
  <c r="E887" i="44"/>
  <c r="E784" i="44"/>
  <c r="E690" i="44"/>
  <c r="E924" i="44"/>
  <c r="E892" i="44"/>
  <c r="E720" i="44"/>
  <c r="E685" i="44"/>
  <c r="E754" i="44"/>
  <c r="E714" i="44"/>
  <c r="E792" i="44"/>
  <c r="E608" i="44"/>
  <c r="E586" i="44"/>
  <c r="E631" i="44"/>
  <c r="E1062" i="44"/>
  <c r="E889" i="44"/>
  <c r="E569" i="44"/>
  <c r="E643" i="44"/>
  <c r="E841" i="44"/>
  <c r="E919" i="44"/>
  <c r="E593" i="44"/>
  <c r="E574" i="44"/>
  <c r="E669" i="44"/>
  <c r="E617" i="44"/>
  <c r="E785" i="44"/>
  <c r="E867" i="44"/>
  <c r="E952" i="44"/>
  <c r="E925" i="44"/>
  <c r="E645" i="44"/>
  <c r="E821" i="44"/>
  <c r="E722" i="44"/>
  <c r="E613" i="44"/>
  <c r="E819" i="44"/>
  <c r="E668" i="44"/>
  <c r="E1098" i="44"/>
  <c r="E753" i="44"/>
  <c r="E634" i="44"/>
  <c r="E946" i="44"/>
  <c r="E726" i="44"/>
  <c r="E1055" i="44"/>
  <c r="E882" i="44"/>
  <c r="E859" i="44"/>
  <c r="E812" i="44"/>
  <c r="E561" i="44"/>
  <c r="E773" i="44"/>
  <c r="E742" i="44"/>
  <c r="E1082" i="44"/>
  <c r="E695" i="44"/>
  <c r="E683" i="44"/>
  <c r="E663" i="44"/>
  <c r="E612" i="44"/>
  <c r="E911" i="44"/>
  <c r="E950" i="44"/>
  <c r="E667" i="44"/>
  <c r="E1054" i="44"/>
  <c r="E881" i="44"/>
  <c r="E838" i="44"/>
  <c r="E560" i="44"/>
  <c r="E858" i="44"/>
  <c r="E811" i="44"/>
  <c r="E945" i="44"/>
  <c r="E910" i="44"/>
  <c r="E633" i="44"/>
  <c r="E589" i="44"/>
  <c r="E807" i="44"/>
  <c r="E709" i="44"/>
  <c r="E628" i="44"/>
  <c r="E749" i="44"/>
  <c r="E789" i="44"/>
  <c r="E740" i="44"/>
  <c r="E935" i="44"/>
  <c r="E877" i="44"/>
  <c r="E852" i="44"/>
  <c r="E724" i="44"/>
  <c r="E680" i="44"/>
  <c r="E655" i="44"/>
  <c r="E604" i="44"/>
  <c r="E768" i="44"/>
  <c r="E693" i="44"/>
  <c r="E903" i="44"/>
  <c r="E1065" i="44"/>
  <c r="E888" i="44"/>
  <c r="E918" i="44"/>
  <c r="E908" i="44"/>
  <c r="E880" i="44"/>
  <c r="E922" i="44"/>
  <c r="E681" i="44"/>
  <c r="E942" i="44"/>
  <c r="E729" i="44"/>
  <c r="E716" i="44"/>
  <c r="E750" i="44"/>
  <c r="E606" i="44"/>
  <c r="E741" i="44"/>
  <c r="E660" i="44"/>
  <c r="E696" i="44"/>
  <c r="E893" i="44"/>
  <c r="E1064" i="44"/>
  <c r="E571" i="44"/>
  <c r="E783" i="44"/>
  <c r="E689" i="44"/>
  <c r="E744" i="44"/>
  <c r="E719" i="44"/>
  <c r="E727" i="44"/>
  <c r="E755" i="44"/>
  <c r="E611" i="44"/>
  <c r="E697" i="44"/>
  <c r="E796" i="44"/>
  <c r="E728" i="44"/>
  <c r="E642" i="44"/>
  <c r="E794" i="44"/>
  <c r="E698" i="44"/>
  <c r="E817" i="44"/>
  <c r="E610" i="44"/>
  <c r="E780" i="44"/>
  <c r="E756" i="44"/>
  <c r="E793" i="44"/>
  <c r="E777" i="44"/>
  <c r="E746" i="44"/>
  <c r="E573" i="44"/>
  <c r="E866" i="44"/>
  <c r="E775" i="44"/>
  <c r="E665" i="44"/>
  <c r="E948" i="44"/>
  <c r="E686" i="44"/>
  <c r="E713" i="44"/>
  <c r="E941" i="44"/>
  <c r="E856" i="44"/>
  <c r="E717" i="44"/>
  <c r="E921" i="44"/>
  <c r="U95" i="44"/>
  <c r="W95" i="44" s="1"/>
  <c r="U22" i="44"/>
  <c r="W22" i="44" s="1"/>
  <c r="Q24" i="51"/>
  <c r="Q37" i="51"/>
  <c r="Q9" i="51"/>
  <c r="Q27" i="51"/>
  <c r="Q29" i="51"/>
  <c r="Q38" i="51"/>
  <c r="Q31" i="51"/>
  <c r="Q18" i="51"/>
  <c r="Q50" i="51"/>
  <c r="Q23" i="51"/>
  <c r="Q19" i="51"/>
  <c r="Q14" i="51"/>
  <c r="Q44" i="51"/>
  <c r="Q48" i="51"/>
  <c r="Q20" i="51"/>
  <c r="Q10" i="51"/>
  <c r="Q16" i="51"/>
  <c r="Q21" i="51"/>
  <c r="Q30" i="51"/>
  <c r="Q22" i="51"/>
  <c r="Q12" i="51"/>
  <c r="Q13" i="51"/>
  <c r="Q6" i="51"/>
  <c r="Q40" i="51"/>
  <c r="Q8" i="51"/>
  <c r="Q15" i="51"/>
  <c r="Q5" i="51"/>
  <c r="Q41" i="51"/>
  <c r="Q52" i="51"/>
  <c r="Q36" i="51"/>
  <c r="Q43" i="51"/>
  <c r="Q11" i="51"/>
  <c r="Q42" i="51"/>
  <c r="Q33" i="51"/>
  <c r="Q49" i="51"/>
  <c r="N52" i="51"/>
  <c r="O52" i="51" s="1"/>
  <c r="P52" i="51"/>
  <c r="P47" i="51"/>
  <c r="P12" i="51"/>
  <c r="P17" i="51"/>
  <c r="P20" i="51"/>
  <c r="P22" i="51"/>
  <c r="P48" i="51"/>
  <c r="P42" i="51"/>
  <c r="P19" i="51"/>
  <c r="P44" i="51"/>
  <c r="P33" i="51"/>
  <c r="P23" i="51"/>
  <c r="P6" i="51"/>
  <c r="P38" i="51"/>
  <c r="P3" i="51"/>
  <c r="P27" i="51"/>
  <c r="P5" i="51"/>
  <c r="P37" i="51"/>
  <c r="P31" i="51"/>
  <c r="P10" i="51"/>
  <c r="P4" i="51"/>
  <c r="P53" i="51"/>
  <c r="P35" i="51"/>
  <c r="P9" i="51"/>
  <c r="P41" i="51"/>
  <c r="P43" i="51"/>
  <c r="P14" i="51"/>
  <c r="P50" i="51"/>
  <c r="P39" i="51"/>
  <c r="P13" i="51"/>
  <c r="P45" i="51"/>
  <c r="P8" i="51"/>
  <c r="P18" i="51"/>
  <c r="P51" i="51"/>
  <c r="P46" i="51"/>
  <c r="P16" i="51"/>
  <c r="P21" i="51"/>
  <c r="P28" i="51"/>
  <c r="P26" i="51"/>
  <c r="P54" i="51"/>
  <c r="P49" i="51"/>
  <c r="P24" i="51"/>
  <c r="P25" i="51"/>
  <c r="P7" i="51"/>
  <c r="P32" i="51"/>
  <c r="P30" i="51"/>
  <c r="P11" i="51"/>
  <c r="P36" i="51"/>
  <c r="P29" i="51"/>
  <c r="P15" i="51"/>
  <c r="P40" i="51"/>
  <c r="P34" i="51"/>
  <c r="N47" i="51"/>
  <c r="O47" i="51" s="1"/>
  <c r="T53" i="44"/>
  <c r="V53" i="44" s="1"/>
  <c r="U24" i="44"/>
  <c r="W24" i="44" s="1"/>
  <c r="U86" i="44"/>
  <c r="W86" i="44" s="1"/>
  <c r="U66" i="44"/>
  <c r="W66" i="44" s="1"/>
  <c r="U71" i="44"/>
  <c r="U84" i="44"/>
  <c r="W84" i="44" s="1"/>
  <c r="U32" i="44"/>
  <c r="W32" i="44" s="1"/>
  <c r="U87" i="44"/>
  <c r="W87" i="44" s="1"/>
  <c r="U35" i="44"/>
  <c r="W35" i="44" s="1"/>
  <c r="U103" i="44"/>
  <c r="U93" i="44"/>
  <c r="W93" i="44" s="1"/>
  <c r="U73" i="44"/>
  <c r="W73" i="44" s="1"/>
  <c r="U38" i="44"/>
  <c r="W38" i="44" s="1"/>
  <c r="E5" i="51" s="1"/>
  <c r="F5" i="51" s="1"/>
  <c r="U82" i="44"/>
  <c r="W82" i="44" s="1"/>
  <c r="U25" i="44"/>
  <c r="W25" i="44" s="1"/>
  <c r="U85" i="44"/>
  <c r="W85" i="44" s="1"/>
  <c r="U67" i="44"/>
  <c r="W67" i="44" s="1"/>
  <c r="U89" i="44"/>
  <c r="U60" i="44"/>
  <c r="W60" i="44" s="1"/>
  <c r="U79" i="44"/>
  <c r="W79" i="44" s="1"/>
  <c r="E22" i="51" s="1"/>
  <c r="F22" i="51" s="1"/>
  <c r="U49" i="44"/>
  <c r="W49" i="44" s="1"/>
  <c r="U56" i="44"/>
  <c r="W56" i="44" s="1"/>
  <c r="U75" i="44"/>
  <c r="U94" i="44"/>
  <c r="W94" i="44" s="1"/>
  <c r="U45" i="44"/>
  <c r="W45" i="44" s="1"/>
  <c r="U83" i="44"/>
  <c r="W83" i="44" s="1"/>
  <c r="U80" i="44"/>
  <c r="W80" i="44" s="1"/>
  <c r="E24" i="51" s="1"/>
  <c r="F24" i="51" s="1"/>
  <c r="U44" i="44"/>
  <c r="U101" i="44"/>
  <c r="W101" i="44" s="1"/>
  <c r="U40" i="44"/>
  <c r="W40" i="44" s="1"/>
  <c r="U81" i="44"/>
  <c r="W81" i="44" s="1"/>
  <c r="T74" i="44"/>
  <c r="V74" i="44" s="1"/>
  <c r="E615" i="44" s="1"/>
  <c r="T52" i="44"/>
  <c r="V52" i="44" s="1"/>
  <c r="K55" i="66" s="1"/>
  <c r="T43" i="44"/>
  <c r="V43" i="44" s="1"/>
  <c r="K13" i="66" s="1"/>
  <c r="T72" i="44"/>
  <c r="V72" i="44" s="1"/>
  <c r="K79" i="66" s="1"/>
  <c r="T58" i="44"/>
  <c r="V58" i="44" s="1"/>
  <c r="T50" i="44"/>
  <c r="V50" i="44" s="1"/>
  <c r="T33" i="44"/>
  <c r="V33" i="44" s="1"/>
  <c r="T31" i="44"/>
  <c r="V31" i="44" s="1"/>
  <c r="T32" i="44"/>
  <c r="V32" i="44" s="1"/>
  <c r="U46" i="44"/>
  <c r="W46" i="44" s="1"/>
  <c r="T102" i="44"/>
  <c r="V102" i="44" s="1"/>
  <c r="T48" i="44"/>
  <c r="V48" i="44" s="1"/>
  <c r="K76" i="66" s="1"/>
  <c r="T90" i="44"/>
  <c r="V90" i="44" s="1"/>
  <c r="K10" i="66" s="1"/>
  <c r="T88" i="44"/>
  <c r="V88" i="44" s="1"/>
  <c r="T96" i="44"/>
  <c r="V96" i="44" s="1"/>
  <c r="K632" i="44" s="1"/>
  <c r="V54" i="44"/>
  <c r="T98" i="44"/>
  <c r="V98" i="44" s="1"/>
  <c r="T69" i="44"/>
  <c r="V69" i="44" s="1"/>
  <c r="T110" i="44"/>
  <c r="V110" i="44" s="1"/>
  <c r="T63" i="44"/>
  <c r="V63" i="44" s="1"/>
  <c r="T51" i="44"/>
  <c r="V51" i="44" s="1"/>
  <c r="K63" i="66" s="1"/>
  <c r="T27" i="44"/>
  <c r="V27" i="44" s="1"/>
  <c r="T77" i="44"/>
  <c r="V77" i="44" s="1"/>
  <c r="W107" i="44"/>
  <c r="T109" i="44"/>
  <c r="V109" i="44" s="1"/>
  <c r="K58" i="66" s="1"/>
  <c r="V29" i="44"/>
  <c r="X70" i="66"/>
  <c r="Y70" i="66" s="1"/>
  <c r="X50" i="66"/>
  <c r="Y50" i="66" s="1"/>
  <c r="X65" i="66"/>
  <c r="Y65" i="66" s="1"/>
  <c r="W92" i="44"/>
  <c r="W53" i="44"/>
  <c r="W59" i="44"/>
  <c r="W108" i="44"/>
  <c r="W91" i="44"/>
  <c r="W104" i="44"/>
  <c r="E49" i="51"/>
  <c r="F49" i="51" s="1"/>
  <c r="E48" i="51"/>
  <c r="F48" i="51" s="1"/>
  <c r="E6" i="51"/>
  <c r="F6" i="51" s="1"/>
  <c r="E16" i="51"/>
  <c r="F16" i="51" s="1"/>
  <c r="E17" i="51"/>
  <c r="F17" i="51" s="1"/>
  <c r="E38" i="51"/>
  <c r="F38" i="51" s="1"/>
  <c r="E15" i="51"/>
  <c r="F15" i="51" s="1"/>
  <c r="E7" i="51"/>
  <c r="F7" i="51" s="1"/>
  <c r="K52" i="66" l="1"/>
  <c r="K629" i="44"/>
  <c r="K11" i="66"/>
  <c r="K619" i="44"/>
  <c r="K3" i="66"/>
  <c r="K620" i="44"/>
  <c r="K627" i="44"/>
  <c r="K628" i="44"/>
  <c r="X66" i="66"/>
  <c r="Y66" i="66" s="1"/>
  <c r="Z66" i="66" s="1"/>
  <c r="X74" i="66"/>
  <c r="Y74" i="66" s="1"/>
  <c r="Z74" i="66" s="1"/>
  <c r="AB78" i="66"/>
  <c r="AC78" i="66" s="1"/>
  <c r="AD78" i="66" s="1"/>
  <c r="X64" i="66"/>
  <c r="AA64" i="66" s="1"/>
  <c r="AB72" i="66"/>
  <c r="AC72" i="66" s="1"/>
  <c r="AD72" i="66" s="1"/>
  <c r="X71" i="66"/>
  <c r="Y71" i="66" s="1"/>
  <c r="Z71" i="66" s="1"/>
  <c r="E1109" i="44"/>
  <c r="E1110" i="44" s="1"/>
  <c r="E1111" i="44" s="1"/>
  <c r="I579" i="44" s="1"/>
  <c r="J579" i="44" s="1"/>
  <c r="K23" i="66" s="1"/>
  <c r="K75" i="66"/>
  <c r="AB75" i="66" s="1"/>
  <c r="AC75" i="66" s="1"/>
  <c r="AD75" i="66" s="1"/>
  <c r="K4" i="66"/>
  <c r="AB4" i="66" s="1"/>
  <c r="AC4" i="66" s="1"/>
  <c r="AD4" i="66" s="1"/>
  <c r="K62" i="66"/>
  <c r="K77" i="66"/>
  <c r="X67" i="66"/>
  <c r="AA67" i="66" s="1"/>
  <c r="K603" i="44"/>
  <c r="AB69" i="66"/>
  <c r="AC69" i="66" s="1"/>
  <c r="AD69" i="66" s="1"/>
  <c r="X68" i="66"/>
  <c r="AA68" i="66" s="1"/>
  <c r="X73" i="66"/>
  <c r="Y73" i="66" s="1"/>
  <c r="Z73" i="66" s="1"/>
  <c r="AB54" i="66"/>
  <c r="AC54" i="66" s="1"/>
  <c r="AD54" i="66" s="1"/>
  <c r="AB11" i="66"/>
  <c r="AC11" i="66" s="1"/>
  <c r="AD11" i="66" s="1"/>
  <c r="AB29" i="66"/>
  <c r="AC29" i="66" s="1"/>
  <c r="AD29" i="66" s="1"/>
  <c r="X5" i="66"/>
  <c r="AB26" i="66"/>
  <c r="AC26" i="66" s="1"/>
  <c r="AD26" i="66" s="1"/>
  <c r="AB51" i="66"/>
  <c r="AC51" i="66" s="1"/>
  <c r="AD51" i="66" s="1"/>
  <c r="AB24" i="66"/>
  <c r="AC24" i="66" s="1"/>
  <c r="AD24" i="66" s="1"/>
  <c r="AB25" i="66"/>
  <c r="AC25" i="66" s="1"/>
  <c r="AD25" i="66" s="1"/>
  <c r="AB15" i="66"/>
  <c r="AC15" i="66" s="1"/>
  <c r="AD15" i="66" s="1"/>
  <c r="AB53" i="66"/>
  <c r="AC53" i="66" s="1"/>
  <c r="AD53" i="66" s="1"/>
  <c r="C11" i="76"/>
  <c r="AB6" i="66"/>
  <c r="AC6" i="66" s="1"/>
  <c r="AD6" i="66" s="1"/>
  <c r="AB7" i="66"/>
  <c r="AC7" i="66" s="1"/>
  <c r="AD7" i="66" s="1"/>
  <c r="AB17" i="66"/>
  <c r="AC17" i="66" s="1"/>
  <c r="AD17" i="66" s="1"/>
  <c r="AB16" i="66"/>
  <c r="AC16" i="66" s="1"/>
  <c r="AD16" i="66" s="1"/>
  <c r="E854" i="44"/>
  <c r="E636" i="44"/>
  <c r="K596" i="44"/>
  <c r="Y72" i="66"/>
  <c r="Z72" i="66" s="1"/>
  <c r="AA71" i="66"/>
  <c r="AA65" i="66"/>
  <c r="AA74" i="66"/>
  <c r="AA69" i="66"/>
  <c r="AA66" i="66"/>
  <c r="AA50" i="66"/>
  <c r="AA70" i="66"/>
  <c r="X15" i="66"/>
  <c r="AA15" i="66" s="1"/>
  <c r="X78" i="66"/>
  <c r="Z69" i="66"/>
  <c r="Z70" i="66"/>
  <c r="X53" i="66"/>
  <c r="X42" i="66"/>
  <c r="X54" i="66"/>
  <c r="X29" i="66"/>
  <c r="Z65" i="66"/>
  <c r="K594" i="44"/>
  <c r="K589" i="44"/>
  <c r="K588" i="44"/>
  <c r="K597" i="44"/>
  <c r="X6" i="66"/>
  <c r="Y6" i="66" s="1"/>
  <c r="U38" i="51"/>
  <c r="V38" i="51" s="1"/>
  <c r="U45" i="51"/>
  <c r="V45" i="51" s="1"/>
  <c r="X16" i="66"/>
  <c r="Y16" i="66" s="1"/>
  <c r="X7" i="66"/>
  <c r="Y7" i="66" s="1"/>
  <c r="X17" i="66"/>
  <c r="Y17" i="66" s="1"/>
  <c r="U15" i="51"/>
  <c r="V15" i="51" s="1"/>
  <c r="E590" i="44"/>
  <c r="E565" i="44"/>
  <c r="E640" i="44"/>
  <c r="E864" i="44"/>
  <c r="E809" i="44"/>
  <c r="E833" i="44"/>
  <c r="E943" i="44"/>
  <c r="E1053" i="44"/>
  <c r="E795" i="44"/>
  <c r="E781" i="44"/>
  <c r="E711" i="44"/>
  <c r="E658" i="44"/>
  <c r="E939" i="44"/>
  <c r="E822" i="44"/>
  <c r="E797" i="44"/>
  <c r="E953" i="44"/>
  <c r="E786" i="44"/>
  <c r="E718" i="44"/>
  <c r="E906" i="44"/>
  <c r="E855" i="44"/>
  <c r="E808" i="44"/>
  <c r="E1051" i="44"/>
  <c r="E605" i="44"/>
  <c r="E659" i="44"/>
  <c r="E878" i="44"/>
  <c r="E835" i="44"/>
  <c r="E769" i="44"/>
  <c r="E630" i="44"/>
  <c r="E1074" i="44"/>
  <c r="E1075" i="44" s="1"/>
  <c r="E1076" i="44" s="1"/>
  <c r="E940" i="44"/>
  <c r="E556" i="44"/>
  <c r="E594" i="44"/>
  <c r="E572" i="44"/>
  <c r="E907" i="44"/>
  <c r="E879" i="44"/>
  <c r="E937" i="44"/>
  <c r="E790" i="44"/>
  <c r="E810" i="44"/>
  <c r="E657" i="44"/>
  <c r="E772" i="44"/>
  <c r="E710" i="44"/>
  <c r="E614" i="44"/>
  <c r="E914" i="44"/>
  <c r="E885" i="44"/>
  <c r="E862" i="44"/>
  <c r="E863" i="44"/>
  <c r="E638" i="44"/>
  <c r="E839" i="44"/>
  <c r="E1059" i="44"/>
  <c r="E564" i="44"/>
  <c r="E715" i="44"/>
  <c r="E1060" i="44"/>
  <c r="E745" i="44"/>
  <c r="E778" i="44"/>
  <c r="E687" i="44"/>
  <c r="E837" i="44"/>
  <c r="E938" i="44"/>
  <c r="E555" i="44"/>
  <c r="E905" i="44"/>
  <c r="E629" i="44"/>
  <c r="E585" i="44"/>
  <c r="E842" i="44"/>
  <c r="E1061" i="44"/>
  <c r="E890" i="44"/>
  <c r="E920" i="44"/>
  <c r="E820" i="44"/>
  <c r="E721" i="44"/>
  <c r="E923" i="44"/>
  <c r="E670" i="44"/>
  <c r="E699" i="44"/>
  <c r="E951" i="44"/>
  <c r="E891" i="44"/>
  <c r="E865" i="44"/>
  <c r="E644" i="44"/>
  <c r="E757" i="44"/>
  <c r="E782" i="44"/>
  <c r="E616" i="44"/>
  <c r="E743" i="44"/>
  <c r="E725" i="44"/>
  <c r="E912" i="44"/>
  <c r="E1090" i="44"/>
  <c r="E694" i="44"/>
  <c r="E635" i="44"/>
  <c r="E712" i="44"/>
  <c r="E1099" i="44"/>
  <c r="E774" i="44"/>
  <c r="E752" i="44"/>
  <c r="E1056" i="44"/>
  <c r="E883" i="44"/>
  <c r="E791" i="44"/>
  <c r="E813" i="44"/>
  <c r="E607" i="44"/>
  <c r="E684" i="44"/>
  <c r="E664" i="44"/>
  <c r="E860" i="44"/>
  <c r="E562" i="44"/>
  <c r="E947" i="44"/>
  <c r="E591" i="44"/>
  <c r="E568" i="44"/>
  <c r="E949" i="44"/>
  <c r="E609" i="44"/>
  <c r="E666" i="44"/>
  <c r="E776" i="44"/>
  <c r="E639" i="44"/>
  <c r="E815" i="44"/>
  <c r="U61" i="44"/>
  <c r="W61" i="44" s="1"/>
  <c r="U57" i="44"/>
  <c r="W57" i="44" s="1"/>
  <c r="U23" i="44"/>
  <c r="W23" i="44" s="1"/>
  <c r="AB30" i="66" s="1"/>
  <c r="AC30" i="66" s="1"/>
  <c r="AD30" i="66" s="1"/>
  <c r="U49" i="51"/>
  <c r="V49" i="51" s="1"/>
  <c r="U22" i="51"/>
  <c r="V22" i="51" s="1"/>
  <c r="U24" i="51"/>
  <c r="V24" i="51" s="1"/>
  <c r="W75" i="44"/>
  <c r="AB60" i="66" s="1"/>
  <c r="AC60" i="66" s="1"/>
  <c r="AD60" i="66" s="1"/>
  <c r="W44" i="44"/>
  <c r="AB59" i="66" s="1"/>
  <c r="AC59" i="66" s="1"/>
  <c r="AD59" i="66" s="1"/>
  <c r="W71" i="44"/>
  <c r="E3" i="51"/>
  <c r="F3" i="51" s="1"/>
  <c r="U3" i="51" s="1"/>
  <c r="E4" i="51"/>
  <c r="F4" i="51" s="1"/>
  <c r="U4" i="51" s="1"/>
  <c r="V4" i="51" s="1"/>
  <c r="X25" i="66"/>
  <c r="Y25" i="66" s="1"/>
  <c r="W89" i="44"/>
  <c r="AB27" i="66" s="1"/>
  <c r="AC27" i="66" s="1"/>
  <c r="AD27" i="66" s="1"/>
  <c r="W103" i="44"/>
  <c r="AB28" i="66" s="1"/>
  <c r="AC28" i="66" s="1"/>
  <c r="AD28" i="66" s="1"/>
  <c r="X51" i="66"/>
  <c r="Y51" i="66" s="1"/>
  <c r="E25" i="51"/>
  <c r="F25" i="51" s="1"/>
  <c r="U25" i="51" s="1"/>
  <c r="V25" i="51" s="1"/>
  <c r="E11" i="51"/>
  <c r="F11" i="51" s="1"/>
  <c r="U11" i="51" s="1"/>
  <c r="V11" i="51" s="1"/>
  <c r="U72" i="44"/>
  <c r="W72" i="44" s="1"/>
  <c r="AB79" i="66" s="1"/>
  <c r="AC79" i="66" s="1"/>
  <c r="AD79" i="66" s="1"/>
  <c r="U78" i="44"/>
  <c r="U51" i="44"/>
  <c r="W51" i="44" s="1"/>
  <c r="AB63" i="66" s="1"/>
  <c r="AC63" i="66" s="1"/>
  <c r="AD63" i="66" s="1"/>
  <c r="U48" i="44"/>
  <c r="W48" i="44" s="1"/>
  <c r="AB76" i="66" s="1"/>
  <c r="AC76" i="66" s="1"/>
  <c r="AD76" i="66" s="1"/>
  <c r="U31" i="44"/>
  <c r="W31" i="44" s="1"/>
  <c r="U43" i="44"/>
  <c r="W43" i="44" s="1"/>
  <c r="AB13" i="66" s="1"/>
  <c r="AC13" i="66" s="1"/>
  <c r="AD13" i="66" s="1"/>
  <c r="U52" i="44"/>
  <c r="W52" i="44" s="1"/>
  <c r="AB55" i="66" s="1"/>
  <c r="AC55" i="66" s="1"/>
  <c r="AD55" i="66" s="1"/>
  <c r="U69" i="44"/>
  <c r="W69" i="44" s="1"/>
  <c r="U77" i="44"/>
  <c r="W77" i="44" s="1"/>
  <c r="U96" i="44"/>
  <c r="W96" i="44" s="1"/>
  <c r="U27" i="44"/>
  <c r="W27" i="44" s="1"/>
  <c r="U110" i="44"/>
  <c r="W110" i="44" s="1"/>
  <c r="E47" i="51" s="1"/>
  <c r="F47" i="51" s="1"/>
  <c r="U47" i="51" s="1"/>
  <c r="V47" i="51" s="1"/>
  <c r="U90" i="44"/>
  <c r="W90" i="44" s="1"/>
  <c r="E10" i="51" s="1"/>
  <c r="F10" i="51" s="1"/>
  <c r="U10" i="51" s="1"/>
  <c r="V10" i="51" s="1"/>
  <c r="U55" i="44"/>
  <c r="W55" i="44" s="1"/>
  <c r="U64" i="44"/>
  <c r="W64" i="44" s="1"/>
  <c r="U50" i="44"/>
  <c r="W50" i="44" s="1"/>
  <c r="U76" i="44"/>
  <c r="W76" i="44" s="1"/>
  <c r="U68" i="44"/>
  <c r="U34" i="44"/>
  <c r="U98" i="44"/>
  <c r="W98" i="44" s="1"/>
  <c r="U88" i="44"/>
  <c r="W88" i="44" s="1"/>
  <c r="U58" i="44"/>
  <c r="W58" i="44" s="1"/>
  <c r="U102" i="44"/>
  <c r="W102" i="44" s="1"/>
  <c r="U109" i="44"/>
  <c r="W109" i="44" s="1"/>
  <c r="AB58" i="66" s="1"/>
  <c r="AC58" i="66" s="1"/>
  <c r="AD58" i="66" s="1"/>
  <c r="U63" i="44"/>
  <c r="W63" i="44" s="1"/>
  <c r="U28" i="44"/>
  <c r="W28" i="44" s="1"/>
  <c r="U42" i="44"/>
  <c r="U33" i="44"/>
  <c r="W33" i="44" s="1"/>
  <c r="U37" i="44"/>
  <c r="W37" i="44" s="1"/>
  <c r="U74" i="44"/>
  <c r="W74" i="44" s="1"/>
  <c r="U47" i="44"/>
  <c r="E8" i="51"/>
  <c r="F8" i="51" s="1"/>
  <c r="U8" i="51" s="1"/>
  <c r="E46" i="51"/>
  <c r="F46" i="51" s="1"/>
  <c r="U46" i="51" s="1"/>
  <c r="V46" i="51" s="1"/>
  <c r="E26" i="51"/>
  <c r="F26" i="51" s="1"/>
  <c r="U26" i="51" s="1"/>
  <c r="E23" i="51"/>
  <c r="F23" i="51" s="1"/>
  <c r="U23" i="51" s="1"/>
  <c r="V23" i="51" s="1"/>
  <c r="E54" i="51"/>
  <c r="F54" i="51" s="1"/>
  <c r="U54" i="51" s="1"/>
  <c r="V54" i="51" s="1"/>
  <c r="E27" i="51"/>
  <c r="F27" i="51" s="1"/>
  <c r="U27" i="51" s="1"/>
  <c r="E28" i="51"/>
  <c r="F28" i="51" s="1"/>
  <c r="U28" i="51" s="1"/>
  <c r="V28" i="51" s="1"/>
  <c r="U48" i="51"/>
  <c r="V48" i="51" s="1"/>
  <c r="U5" i="51"/>
  <c r="V5" i="51" s="1"/>
  <c r="U17" i="51"/>
  <c r="V17" i="51" s="1"/>
  <c r="U16" i="51"/>
  <c r="V16" i="51" s="1"/>
  <c r="U7" i="51"/>
  <c r="V7" i="51" s="1"/>
  <c r="U6" i="51"/>
  <c r="V6" i="51" s="1"/>
  <c r="Y64" i="66" l="1"/>
  <c r="Z64" i="66" s="1"/>
  <c r="AB62" i="66"/>
  <c r="AC62" i="66" s="1"/>
  <c r="AD62" i="66" s="1"/>
  <c r="AB23" i="66"/>
  <c r="AC23" i="66" s="1"/>
  <c r="AD23" i="66" s="1"/>
  <c r="X23" i="66"/>
  <c r="Y23" i="66" s="1"/>
  <c r="Z23" i="66" s="1"/>
  <c r="Y67" i="66"/>
  <c r="Z67" i="66" s="1"/>
  <c r="AA73" i="66"/>
  <c r="Y68" i="66"/>
  <c r="Z68" i="66" s="1"/>
  <c r="K607" i="44"/>
  <c r="K608" i="44" s="1"/>
  <c r="K609" i="44" s="1"/>
  <c r="K610" i="44" s="1"/>
  <c r="I578" i="44" s="1"/>
  <c r="J578" i="44" s="1"/>
  <c r="K35" i="66" s="1"/>
  <c r="AB35" i="66" s="1"/>
  <c r="AC35" i="66" s="1"/>
  <c r="AD35" i="66" s="1"/>
  <c r="X26" i="66"/>
  <c r="Y26" i="66" s="1"/>
  <c r="AB5" i="66"/>
  <c r="AC5" i="66" s="1"/>
  <c r="AD5" i="66" s="1"/>
  <c r="X60" i="66"/>
  <c r="Y60" i="66" s="1"/>
  <c r="Z60" i="66" s="1"/>
  <c r="X27" i="66"/>
  <c r="Y27" i="66" s="1"/>
  <c r="Z27" i="66" s="1"/>
  <c r="AB77" i="66"/>
  <c r="AC77" i="66" s="1"/>
  <c r="AD77" i="66" s="1"/>
  <c r="X59" i="66"/>
  <c r="Y59" i="66" s="1"/>
  <c r="Z59" i="66" s="1"/>
  <c r="AB10" i="66"/>
  <c r="AC10" i="66" s="1"/>
  <c r="AD10" i="66" s="1"/>
  <c r="X28" i="66"/>
  <c r="AA28" i="66" s="1"/>
  <c r="AB8" i="66"/>
  <c r="AC8" i="66" s="1"/>
  <c r="AD8" i="66" s="1"/>
  <c r="X8" i="66"/>
  <c r="Y8" i="66" s="1"/>
  <c r="Z8" i="66" s="1"/>
  <c r="X24" i="66"/>
  <c r="AA24" i="66" s="1"/>
  <c r="K633" i="44"/>
  <c r="K634" i="44" s="1"/>
  <c r="K635" i="44" s="1"/>
  <c r="K636" i="44" s="1"/>
  <c r="I577" i="44" s="1"/>
  <c r="J577" i="44" s="1"/>
  <c r="K34" i="66" s="1"/>
  <c r="X30" i="66"/>
  <c r="Y30" i="66" s="1"/>
  <c r="Z30" i="66" s="1"/>
  <c r="AB61" i="66"/>
  <c r="AC61" i="66" s="1"/>
  <c r="AD61" i="66" s="1"/>
  <c r="X61" i="66"/>
  <c r="Y61" i="66" s="1"/>
  <c r="Z61" i="66" s="1"/>
  <c r="AB52" i="66"/>
  <c r="AC52" i="66" s="1"/>
  <c r="AD52" i="66" s="1"/>
  <c r="AB3" i="66"/>
  <c r="AC3" i="66" s="1"/>
  <c r="AD3" i="66" s="1"/>
  <c r="X3" i="66"/>
  <c r="AA3" i="66" s="1"/>
  <c r="X63" i="66"/>
  <c r="AA63" i="66" s="1"/>
  <c r="X62" i="66"/>
  <c r="AA62" i="66" s="1"/>
  <c r="X75" i="66"/>
  <c r="AA75" i="66" s="1"/>
  <c r="AA6" i="66"/>
  <c r="AA53" i="66"/>
  <c r="Y53" i="66"/>
  <c r="Z53" i="66" s="1"/>
  <c r="Y15" i="66"/>
  <c r="Y42" i="66"/>
  <c r="Y5" i="66"/>
  <c r="Z5" i="66" s="1"/>
  <c r="AA29" i="66"/>
  <c r="Y29" i="66"/>
  <c r="Z29" i="66" s="1"/>
  <c r="Y54" i="66"/>
  <c r="Z54" i="66" s="1"/>
  <c r="AA78" i="66"/>
  <c r="Y78" i="66"/>
  <c r="Z78" i="66" s="1"/>
  <c r="AA5" i="66"/>
  <c r="AA54" i="66"/>
  <c r="AA25" i="66"/>
  <c r="AA59" i="66"/>
  <c r="AA42" i="66"/>
  <c r="AA7" i="66"/>
  <c r="AA16" i="66"/>
  <c r="AA51" i="66"/>
  <c r="AA17" i="66"/>
  <c r="Z51" i="66"/>
  <c r="X4" i="66"/>
  <c r="Y4" i="66" s="1"/>
  <c r="X11" i="66"/>
  <c r="Z16" i="66"/>
  <c r="A142" i="44"/>
  <c r="A143" i="44" s="1"/>
  <c r="Z17" i="66"/>
  <c r="Z6" i="66"/>
  <c r="Z7" i="66"/>
  <c r="Z25" i="66"/>
  <c r="Z50" i="66"/>
  <c r="X55" i="66"/>
  <c r="W68" i="44"/>
  <c r="AB14" i="66" s="1"/>
  <c r="AC14" i="66" s="1"/>
  <c r="AD14" i="66" s="1"/>
  <c r="W78" i="44"/>
  <c r="AB9" i="66" s="1"/>
  <c r="AC9" i="66" s="1"/>
  <c r="AD9" i="66" s="1"/>
  <c r="W42" i="44"/>
  <c r="AB12" i="66" s="1"/>
  <c r="AC12" i="66" s="1"/>
  <c r="AD12" i="66" s="1"/>
  <c r="W34" i="44"/>
  <c r="AB57" i="66" s="1"/>
  <c r="AC57" i="66" s="1"/>
  <c r="AD57" i="66" s="1"/>
  <c r="X13" i="66"/>
  <c r="Y13" i="66" s="1"/>
  <c r="W47" i="44"/>
  <c r="AB56" i="66" s="1"/>
  <c r="AC56" i="66" s="1"/>
  <c r="AD56" i="66" s="1"/>
  <c r="X58" i="66"/>
  <c r="E53" i="51"/>
  <c r="F53" i="51" s="1"/>
  <c r="U53" i="51" s="1"/>
  <c r="V53" i="51" s="1"/>
  <c r="E1091" i="44"/>
  <c r="E1092" i="44" s="1"/>
  <c r="E13" i="51"/>
  <c r="F13" i="51" s="1"/>
  <c r="U13" i="51" s="1"/>
  <c r="E14" i="51"/>
  <c r="F14" i="51" s="1"/>
  <c r="U14" i="51" s="1"/>
  <c r="E9" i="51"/>
  <c r="F9" i="51" s="1"/>
  <c r="U9" i="51" s="1"/>
  <c r="V9" i="51" s="1"/>
  <c r="E51" i="51"/>
  <c r="F51" i="51" s="1"/>
  <c r="U51" i="51" s="1"/>
  <c r="V51" i="51" s="1"/>
  <c r="E52" i="51"/>
  <c r="F52" i="51" s="1"/>
  <c r="U52" i="51" s="1"/>
  <c r="V52" i="51" s="1"/>
  <c r="E50" i="51"/>
  <c r="F50" i="51" s="1"/>
  <c r="U50" i="51" s="1"/>
  <c r="V50" i="51" s="1"/>
  <c r="E12" i="51"/>
  <c r="F12" i="51" s="1"/>
  <c r="U12" i="51" s="1"/>
  <c r="E1083" i="44"/>
  <c r="E1084" i="44" s="1"/>
  <c r="E1042" i="44"/>
  <c r="E1043" i="44" s="1"/>
  <c r="V8" i="51"/>
  <c r="E972" i="44"/>
  <c r="E973" i="44" s="1"/>
  <c r="E1077" i="44"/>
  <c r="E1078" i="44" s="1"/>
  <c r="E1006" i="44"/>
  <c r="E1007" i="44" s="1"/>
  <c r="E989" i="44"/>
  <c r="E990" i="44" s="1"/>
  <c r="E1023" i="44"/>
  <c r="E1024" i="44" s="1"/>
  <c r="V26" i="51"/>
  <c r="V27" i="51"/>
  <c r="E20" i="51"/>
  <c r="F20" i="51" s="1"/>
  <c r="U20" i="51" s="1"/>
  <c r="V20" i="51" s="1"/>
  <c r="E19" i="51"/>
  <c r="F19" i="51" s="1"/>
  <c r="E18" i="51"/>
  <c r="F18" i="51" s="1"/>
  <c r="U18" i="51" s="1"/>
  <c r="V18" i="51" s="1"/>
  <c r="AA23" i="66" l="1"/>
  <c r="AB34" i="66"/>
  <c r="AC34" i="66" s="1"/>
  <c r="AD34" i="66" s="1"/>
  <c r="X35" i="66"/>
  <c r="AA35" i="66" s="1"/>
  <c r="X34" i="66"/>
  <c r="AA34" i="66" s="1"/>
  <c r="AA30" i="66"/>
  <c r="I553" i="44"/>
  <c r="J553" i="44" s="1"/>
  <c r="AA26" i="66"/>
  <c r="AA60" i="66"/>
  <c r="AA27" i="66"/>
  <c r="X52" i="66"/>
  <c r="Y52" i="66" s="1"/>
  <c r="Z52" i="66" s="1"/>
  <c r="X56" i="66"/>
  <c r="AA56" i="66" s="1"/>
  <c r="Y28" i="66"/>
  <c r="Z28" i="66" s="1"/>
  <c r="X10" i="66"/>
  <c r="Y10" i="66" s="1"/>
  <c r="Z10" i="66" s="1"/>
  <c r="X14" i="66"/>
  <c r="Y14" i="66" s="1"/>
  <c r="Z14" i="66" s="1"/>
  <c r="X57" i="66"/>
  <c r="Y57" i="66" s="1"/>
  <c r="Z57" i="66" s="1"/>
  <c r="X9" i="66"/>
  <c r="Y9" i="66" s="1"/>
  <c r="AA8" i="66"/>
  <c r="Y63" i="66"/>
  <c r="Z63" i="66" s="1"/>
  <c r="X12" i="66"/>
  <c r="Y12" i="66" s="1"/>
  <c r="Y24" i="66"/>
  <c r="Z24" i="66" s="1"/>
  <c r="AA61" i="66"/>
  <c r="Y75" i="66"/>
  <c r="Z75" i="66" s="1"/>
  <c r="Y62" i="66"/>
  <c r="Z62" i="66" s="1"/>
  <c r="Y3" i="66"/>
  <c r="E18" i="73"/>
  <c r="Z15" i="66"/>
  <c r="AA11" i="66"/>
  <c r="Y11" i="66"/>
  <c r="Z11" i="66" s="1"/>
  <c r="AA58" i="66"/>
  <c r="Y58" i="66"/>
  <c r="Z58" i="66" s="1"/>
  <c r="Z42" i="66"/>
  <c r="AA55" i="66"/>
  <c r="Y55" i="66"/>
  <c r="Z55" i="66" s="1"/>
  <c r="AA13" i="66"/>
  <c r="AA4" i="66"/>
  <c r="Z4" i="66"/>
  <c r="X77" i="66"/>
  <c r="X79" i="66"/>
  <c r="X76" i="66"/>
  <c r="AA76" i="66" s="1"/>
  <c r="A144" i="44"/>
  <c r="A145" i="44" s="1"/>
  <c r="Z26" i="66"/>
  <c r="E595" i="44"/>
  <c r="Z13" i="66"/>
  <c r="E646" i="44"/>
  <c r="E647" i="44" s="1"/>
  <c r="E843" i="44"/>
  <c r="E844" i="44" s="1"/>
  <c r="E1067" i="44"/>
  <c r="E868" i="44"/>
  <c r="E869" i="44" s="1"/>
  <c r="E575" i="44"/>
  <c r="E576" i="44" s="1"/>
  <c r="E954" i="44"/>
  <c r="E955" i="44" s="1"/>
  <c r="V13" i="51"/>
  <c r="E926" i="44"/>
  <c r="E927" i="44" s="1"/>
  <c r="E671" i="44"/>
  <c r="E672" i="44" s="1"/>
  <c r="V12" i="51"/>
  <c r="E894" i="44"/>
  <c r="E895" i="44" s="1"/>
  <c r="E730" i="44"/>
  <c r="E731" i="44" s="1"/>
  <c r="E700" i="44"/>
  <c r="E701" i="44" s="1"/>
  <c r="E1100" i="44"/>
  <c r="E1101" i="44" s="1"/>
  <c r="V14" i="51"/>
  <c r="E619" i="44"/>
  <c r="E620" i="44" s="1"/>
  <c r="E1093" i="44"/>
  <c r="E1094" i="44" s="1"/>
  <c r="I562" i="44" s="1"/>
  <c r="E1085" i="44"/>
  <c r="E1086" i="44" s="1"/>
  <c r="E758" i="44"/>
  <c r="E759" i="44" s="1"/>
  <c r="E824" i="44"/>
  <c r="E825" i="44" s="1"/>
  <c r="E1044" i="44"/>
  <c r="E1045" i="44" s="1"/>
  <c r="E974" i="44"/>
  <c r="E975" i="44" s="1"/>
  <c r="E991" i="44"/>
  <c r="E992" i="44" s="1"/>
  <c r="E1025" i="44"/>
  <c r="E1026" i="44" s="1"/>
  <c r="E1008" i="44"/>
  <c r="E1009" i="44" s="1"/>
  <c r="E21" i="51"/>
  <c r="F21" i="51" s="1"/>
  <c r="U21" i="51" s="1"/>
  <c r="V21" i="51" s="1"/>
  <c r="U19" i="51"/>
  <c r="V19" i="51" s="1"/>
  <c r="Y35" i="66" l="1"/>
  <c r="Z35" i="66" s="1"/>
  <c r="Y56" i="66"/>
  <c r="Z56" i="66" s="1"/>
  <c r="Y34" i="66"/>
  <c r="Z34" i="66" s="1"/>
  <c r="K18" i="66"/>
  <c r="AB18" i="66" s="1"/>
  <c r="AC18" i="66" s="1"/>
  <c r="AD18" i="66" s="1"/>
  <c r="I557" i="44"/>
  <c r="J557" i="44" s="1"/>
  <c r="I556" i="44"/>
  <c r="J556" i="44" s="1"/>
  <c r="I555" i="44"/>
  <c r="J555" i="44" s="1"/>
  <c r="I559" i="44"/>
  <c r="J559" i="44" s="1"/>
  <c r="I558" i="44"/>
  <c r="J558" i="44" s="1"/>
  <c r="I561" i="44"/>
  <c r="J561" i="44" s="1"/>
  <c r="AA57" i="66"/>
  <c r="AA52" i="66"/>
  <c r="AA14" i="66"/>
  <c r="AA10" i="66"/>
  <c r="AA9" i="66"/>
  <c r="AA12" i="66"/>
  <c r="E1068" i="44"/>
  <c r="E1069" i="44" s="1"/>
  <c r="E1070" i="44" s="1"/>
  <c r="I580" i="44" s="1"/>
  <c r="J580" i="44" s="1"/>
  <c r="K22" i="66" s="1"/>
  <c r="E596" i="44"/>
  <c r="E597" i="44" s="1"/>
  <c r="E598" i="44" s="1"/>
  <c r="E44" i="73"/>
  <c r="E19" i="73"/>
  <c r="H18" i="73"/>
  <c r="Y76" i="66"/>
  <c r="Z76" i="66" s="1"/>
  <c r="Y79" i="66"/>
  <c r="Z79" i="66" s="1"/>
  <c r="AA77" i="66"/>
  <c r="Y77" i="66"/>
  <c r="Z77" i="66" s="1"/>
  <c r="J562" i="44"/>
  <c r="K20" i="66" s="1"/>
  <c r="AA79" i="66"/>
  <c r="Z9" i="66"/>
  <c r="Z12" i="66"/>
  <c r="Z3" i="66"/>
  <c r="A146" i="44"/>
  <c r="A147" i="44" s="1"/>
  <c r="E648" i="44"/>
  <c r="E649" i="44" s="1"/>
  <c r="E845" i="44"/>
  <c r="E846" i="44" s="1"/>
  <c r="E673" i="44"/>
  <c r="E674" i="44" s="1"/>
  <c r="I575" i="44" s="1"/>
  <c r="E577" i="44"/>
  <c r="E578" i="44" s="1"/>
  <c r="I576" i="44" s="1"/>
  <c r="E956" i="44"/>
  <c r="E957" i="44" s="1"/>
  <c r="E870" i="44"/>
  <c r="E871" i="44" s="1"/>
  <c r="E928" i="44"/>
  <c r="E929" i="44" s="1"/>
  <c r="E896" i="44"/>
  <c r="E897" i="44" s="1"/>
  <c r="E732" i="44"/>
  <c r="E733" i="44" s="1"/>
  <c r="E702" i="44"/>
  <c r="E703" i="44" s="1"/>
  <c r="I564" i="44" s="1"/>
  <c r="E760" i="44"/>
  <c r="E761" i="44" s="1"/>
  <c r="E621" i="44"/>
  <c r="E622" i="44" s="1"/>
  <c r="I573" i="44" s="1"/>
  <c r="E1102" i="44"/>
  <c r="E1103" i="44" s="1"/>
  <c r="E826" i="44"/>
  <c r="E827" i="44" s="1"/>
  <c r="X18" i="66" l="1"/>
  <c r="Y18" i="66" s="1"/>
  <c r="Z18" i="66" s="1"/>
  <c r="X22" i="66"/>
  <c r="AA22" i="66" s="1"/>
  <c r="Y22" i="66"/>
  <c r="Z22" i="66" s="1"/>
  <c r="AB22" i="66"/>
  <c r="AC22" i="66" s="1"/>
  <c r="AD22" i="66" s="1"/>
  <c r="X20" i="66"/>
  <c r="AA20" i="66" s="1"/>
  <c r="Y20" i="66"/>
  <c r="Z20" i="66" s="1"/>
  <c r="K19" i="66"/>
  <c r="AB19" i="66" s="1"/>
  <c r="AC19" i="66" s="1"/>
  <c r="AD19" i="66" s="1"/>
  <c r="J576" i="44"/>
  <c r="I574" i="44"/>
  <c r="J574" i="44" s="1"/>
  <c r="I563" i="44"/>
  <c r="J563" i="44" s="1"/>
  <c r="I552" i="44"/>
  <c r="J552" i="44" s="1"/>
  <c r="I570" i="44"/>
  <c r="J570" i="44" s="1"/>
  <c r="I565" i="44"/>
  <c r="J565" i="44" s="1"/>
  <c r="I560" i="44"/>
  <c r="J560" i="44" s="1"/>
  <c r="I569" i="44"/>
  <c r="J569" i="44" s="1"/>
  <c r="I566" i="44"/>
  <c r="J566" i="44" s="1"/>
  <c r="I567" i="44"/>
  <c r="J567" i="44" s="1"/>
  <c r="I554" i="44"/>
  <c r="J554" i="44" s="1"/>
  <c r="I572" i="44"/>
  <c r="J572" i="44" s="1"/>
  <c r="I568" i="44"/>
  <c r="J568" i="44" s="1"/>
  <c r="J564" i="44"/>
  <c r="J575" i="44"/>
  <c r="J573" i="44"/>
  <c r="C496" i="44"/>
  <c r="D62" i="44" s="1"/>
  <c r="E62" i="44" s="1"/>
  <c r="AA18" i="66"/>
  <c r="E21" i="73"/>
  <c r="E39" i="73"/>
  <c r="E32" i="73"/>
  <c r="E33" i="73"/>
  <c r="E20" i="73"/>
  <c r="AB20" i="66"/>
  <c r="AC20" i="66" s="1"/>
  <c r="AD20" i="66" s="1"/>
  <c r="E40" i="73"/>
  <c r="E29" i="73"/>
  <c r="N18" i="73"/>
  <c r="K18" i="73"/>
  <c r="E43" i="73"/>
  <c r="E36" i="73"/>
  <c r="H19" i="73"/>
  <c r="K19" i="73"/>
  <c r="E34" i="73"/>
  <c r="E35" i="73"/>
  <c r="E42" i="73"/>
  <c r="E31" i="73"/>
  <c r="K44" i="73"/>
  <c r="H44" i="73"/>
  <c r="E37" i="73"/>
  <c r="A148" i="44"/>
  <c r="A149" i="44" s="1"/>
  <c r="K40" i="66" l="1"/>
  <c r="AB40" i="66" s="1"/>
  <c r="AC40" i="66" s="1"/>
  <c r="AD40" i="66" s="1"/>
  <c r="K32" i="66"/>
  <c r="AB32" i="66" s="1"/>
  <c r="AC32" i="66" s="1"/>
  <c r="AD32" i="66" s="1"/>
  <c r="K31" i="66"/>
  <c r="AB31" i="66" s="1"/>
  <c r="AC31" i="66" s="1"/>
  <c r="AD31" i="66" s="1"/>
  <c r="K39" i="66"/>
  <c r="AB39" i="66" s="1"/>
  <c r="AC39" i="66" s="1"/>
  <c r="AD39" i="66" s="1"/>
  <c r="K38" i="66"/>
  <c r="AB38" i="66" s="1"/>
  <c r="AC38" i="66" s="1"/>
  <c r="AD38" i="66" s="1"/>
  <c r="X19" i="66"/>
  <c r="Y19" i="66" s="1"/>
  <c r="Z19" i="66" s="1"/>
  <c r="K47" i="66"/>
  <c r="AB47" i="66" s="1"/>
  <c r="AC47" i="66" s="1"/>
  <c r="AD47" i="66" s="1"/>
  <c r="K37" i="66"/>
  <c r="AB37" i="66" s="1"/>
  <c r="AC37" i="66" s="1"/>
  <c r="AD37" i="66" s="1"/>
  <c r="K43" i="66"/>
  <c r="AB43" i="66" s="1"/>
  <c r="AC43" i="66" s="1"/>
  <c r="AD43" i="66" s="1"/>
  <c r="K33" i="66"/>
  <c r="AB33" i="66" s="1"/>
  <c r="AC33" i="66" s="1"/>
  <c r="AD33" i="66" s="1"/>
  <c r="K44" i="66"/>
  <c r="AB44" i="66" s="1"/>
  <c r="AC44" i="66" s="1"/>
  <c r="AD44" i="66" s="1"/>
  <c r="K21" i="66"/>
  <c r="AB21" i="66" s="1"/>
  <c r="AC21" i="66" s="1"/>
  <c r="AD21" i="66" s="1"/>
  <c r="K41" i="66"/>
  <c r="AB41" i="66" s="1"/>
  <c r="AC41" i="66" s="1"/>
  <c r="AD41" i="66" s="1"/>
  <c r="K45" i="66"/>
  <c r="AB45" i="66" s="1"/>
  <c r="AC45" i="66" s="1"/>
  <c r="AD45" i="66" s="1"/>
  <c r="K36" i="66"/>
  <c r="AB36" i="66" s="1"/>
  <c r="AC36" i="66" s="1"/>
  <c r="AD36" i="66" s="1"/>
  <c r="K48" i="66"/>
  <c r="AB48" i="66" s="1"/>
  <c r="AC48" i="66" s="1"/>
  <c r="AD48" i="66" s="1"/>
  <c r="T62" i="44"/>
  <c r="V62" i="44" s="1"/>
  <c r="G62" i="44"/>
  <c r="E30" i="73"/>
  <c r="H40" i="73"/>
  <c r="H20" i="73"/>
  <c r="H32" i="73"/>
  <c r="H21" i="73"/>
  <c r="E41" i="73"/>
  <c r="H36" i="73"/>
  <c r="K36" i="73"/>
  <c r="K35" i="73"/>
  <c r="H35" i="73"/>
  <c r="K30" i="73"/>
  <c r="H30" i="73"/>
  <c r="H42" i="73"/>
  <c r="K42" i="73"/>
  <c r="H31" i="73"/>
  <c r="K43" i="73"/>
  <c r="H43" i="73"/>
  <c r="K37" i="73"/>
  <c r="H37" i="73"/>
  <c r="K33" i="73"/>
  <c r="H33" i="73"/>
  <c r="K39" i="73"/>
  <c r="H39" i="73"/>
  <c r="K20" i="73"/>
  <c r="H34" i="73"/>
  <c r="K29" i="73"/>
  <c r="H29" i="73"/>
  <c r="K41" i="73"/>
  <c r="H41" i="73"/>
  <c r="A150" i="44"/>
  <c r="A151" i="44" s="1"/>
  <c r="X21" i="66" l="1"/>
  <c r="Y21" i="66" s="1"/>
  <c r="Z21" i="66" s="1"/>
  <c r="AA19" i="66"/>
  <c r="U62" i="44"/>
  <c r="W62" i="44" s="1"/>
  <c r="E779" i="44"/>
  <c r="E798" i="44" s="1"/>
  <c r="E799" i="44" s="1"/>
  <c r="E800" i="44" s="1"/>
  <c r="E801" i="44" s="1"/>
  <c r="K32" i="73"/>
  <c r="K21" i="73"/>
  <c r="K40" i="73"/>
  <c r="N34" i="73"/>
  <c r="K34" i="73"/>
  <c r="N31" i="73"/>
  <c r="K31" i="73"/>
  <c r="A152" i="44"/>
  <c r="A153" i="44" s="1"/>
  <c r="AA21" i="66" l="1"/>
  <c r="I571" i="44"/>
  <c r="J571" i="44" s="1"/>
  <c r="A154" i="44"/>
  <c r="A155" i="44" s="1"/>
  <c r="X44" i="66"/>
  <c r="Y44" i="66" s="1"/>
  <c r="X48" i="66"/>
  <c r="Y48" i="66" s="1"/>
  <c r="X37" i="66"/>
  <c r="Y37" i="66" s="1"/>
  <c r="X39" i="66"/>
  <c r="Y39" i="66" s="1"/>
  <c r="X32" i="66"/>
  <c r="Y32" i="66" s="1"/>
  <c r="X43" i="66"/>
  <c r="Y43" i="66" s="1"/>
  <c r="X47" i="66"/>
  <c r="Y47" i="66" s="1"/>
  <c r="X41" i="66"/>
  <c r="Y41" i="66" s="1"/>
  <c r="X38" i="66"/>
  <c r="Y38" i="66" s="1"/>
  <c r="X36" i="66"/>
  <c r="Y36" i="66" s="1"/>
  <c r="X40" i="66"/>
  <c r="Y40" i="66" s="1"/>
  <c r="X45" i="66"/>
  <c r="Y45" i="66" s="1"/>
  <c r="K46" i="66" l="1"/>
  <c r="AB46" i="66" s="1"/>
  <c r="AC46" i="66" s="1"/>
  <c r="AD46" i="66" s="1"/>
  <c r="AA38" i="66"/>
  <c r="AA47" i="66"/>
  <c r="AA32" i="66"/>
  <c r="AA45" i="66"/>
  <c r="AA41" i="66"/>
  <c r="AA43" i="66"/>
  <c r="AA39" i="66"/>
  <c r="AA37" i="66"/>
  <c r="AA48" i="66"/>
  <c r="AA40" i="66"/>
  <c r="AA44" i="66"/>
  <c r="AA36" i="66"/>
  <c r="A156" i="44"/>
  <c r="A157" i="44" s="1"/>
  <c r="X31" i="66"/>
  <c r="Y31" i="66" s="1"/>
  <c r="AA31" i="66" l="1"/>
  <c r="A158" i="44"/>
  <c r="A159" i="44" s="1"/>
  <c r="E40" i="51"/>
  <c r="F40" i="51" s="1"/>
  <c r="U40" i="51" s="1"/>
  <c r="V40" i="51" s="1"/>
  <c r="E44" i="51"/>
  <c r="F44" i="51" s="1"/>
  <c r="U44" i="51" s="1"/>
  <c r="V44" i="51" s="1"/>
  <c r="E33" i="51"/>
  <c r="F33" i="51" s="1"/>
  <c r="U33" i="51" s="1"/>
  <c r="V33" i="51" s="1"/>
  <c r="E29" i="51"/>
  <c r="F29" i="51" s="1"/>
  <c r="U29" i="51" s="1"/>
  <c r="V29" i="51" s="1"/>
  <c r="E36" i="51"/>
  <c r="F36" i="51" s="1"/>
  <c r="U36" i="51" s="1"/>
  <c r="V36" i="51" s="1"/>
  <c r="E35" i="51"/>
  <c r="F35" i="51" s="1"/>
  <c r="U35" i="51" s="1"/>
  <c r="V35" i="51" s="1"/>
  <c r="E41" i="51"/>
  <c r="F41" i="51" s="1"/>
  <c r="U41" i="51" s="1"/>
  <c r="V41" i="51" s="1"/>
  <c r="E34" i="51"/>
  <c r="F34" i="51" s="1"/>
  <c r="U34" i="51" s="1"/>
  <c r="V34" i="51" s="1"/>
  <c r="E30" i="51"/>
  <c r="F30" i="51" s="1"/>
  <c r="U30" i="51" s="1"/>
  <c r="V30" i="51" s="1"/>
  <c r="E32" i="51"/>
  <c r="F32" i="51" s="1"/>
  <c r="U32" i="51" s="1"/>
  <c r="V32" i="51" s="1"/>
  <c r="E43" i="51"/>
  <c r="F43" i="51" s="1"/>
  <c r="U43" i="51" s="1"/>
  <c r="V43" i="51" s="1"/>
  <c r="E37" i="51"/>
  <c r="F37" i="51" s="1"/>
  <c r="U37" i="51" s="1"/>
  <c r="V37" i="51" s="1"/>
  <c r="E39" i="51"/>
  <c r="F39" i="51" s="1"/>
  <c r="U39" i="51" s="1"/>
  <c r="V39" i="51" s="1"/>
  <c r="X33" i="66"/>
  <c r="Y33" i="66" s="1"/>
  <c r="X46" i="66"/>
  <c r="Y46" i="66" s="1"/>
  <c r="V3" i="51"/>
  <c r="AA46" i="66" l="1"/>
  <c r="AA33" i="66"/>
  <c r="A160" i="44"/>
  <c r="A161" i="44" s="1"/>
  <c r="Z38" i="66"/>
  <c r="Z31" i="66"/>
  <c r="Z43" i="66"/>
  <c r="Z44" i="66"/>
  <c r="Z47" i="66"/>
  <c r="Z32" i="66"/>
  <c r="Z36" i="66"/>
  <c r="Z40" i="66"/>
  <c r="Z37" i="66"/>
  <c r="Z48" i="66"/>
  <c r="Z41" i="66"/>
  <c r="Z39" i="66"/>
  <c r="Z45" i="66"/>
  <c r="A162" i="44" l="1"/>
  <c r="A163" i="44" s="1"/>
  <c r="E31" i="51"/>
  <c r="F31" i="51" s="1"/>
  <c r="U31" i="51" s="1"/>
  <c r="V31" i="51" s="1"/>
  <c r="E42" i="51"/>
  <c r="F42" i="51" s="1"/>
  <c r="U42" i="51" s="1"/>
  <c r="V42" i="51" s="1"/>
  <c r="A164" i="44" l="1"/>
  <c r="A165" i="44" s="1"/>
  <c r="A166" i="44" s="1"/>
  <c r="A167" i="44" s="1"/>
  <c r="A168" i="44" s="1"/>
  <c r="A169" i="44" s="1"/>
  <c r="A170" i="44" s="1"/>
  <c r="A171" i="44" s="1"/>
  <c r="A172" i="44" s="1"/>
  <c r="A173" i="44" s="1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95" i="44" s="1"/>
  <c r="A196" i="44" s="1"/>
  <c r="A197" i="44" s="1"/>
  <c r="Z33" i="66"/>
  <c r="Z46" i="6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3A00D3-1B1B-4CD8-9343-5C514E2104DE}" keepAlive="1" name="Query - Cost Sheet" description="Connection to the 'Cost Sheet' query in the workbook." type="5" refreshedVersion="0" background="1">
    <dbPr connection="Provider=Microsoft.Mashup.OleDb.1;Data Source=$Workbook$;Location=&quot;Cost Sheet&quot;;Extended Properties=&quot;&quot;" command="SELECT * FROM [Cost Sheet]"/>
  </connection>
  <connection id="2" xr16:uid="{65C1DF2F-5469-4BCA-BB0B-344432A1C3C0}" keepAlive="1" name="Query - kk" description="Connection to the 'kk' query in the workbook." type="5" refreshedVersion="0" background="1">
    <dbPr connection="Provider=Microsoft.Mashup.OleDb.1;Data Source=$Workbook$;Location=kk;Extended Properties=&quot;&quot;" command="SELECT * FROM [kk]"/>
  </connection>
</connections>
</file>

<file path=xl/sharedStrings.xml><?xml version="1.0" encoding="utf-8"?>
<sst xmlns="http://schemas.openxmlformats.org/spreadsheetml/2006/main" count="4008" uniqueCount="557">
  <si>
    <t>Black Pepper Whole</t>
  </si>
  <si>
    <t>Cloves</t>
  </si>
  <si>
    <t>Coriander Seeds</t>
  </si>
  <si>
    <t>Cumin Seeds</t>
  </si>
  <si>
    <t>Garam Masala</t>
  </si>
  <si>
    <t>Original Kerala Cinnamon Flakes</t>
  </si>
  <si>
    <t>Pav Bhaji Masala</t>
  </si>
  <si>
    <t>Premium Chai Masala</t>
  </si>
  <si>
    <t>A</t>
  </si>
  <si>
    <t>B</t>
  </si>
  <si>
    <t>C</t>
  </si>
  <si>
    <t>D</t>
  </si>
  <si>
    <t>Nutmeg</t>
  </si>
  <si>
    <t>Star Anise</t>
  </si>
  <si>
    <t>Nag Kesar</t>
  </si>
  <si>
    <t>Black Cardamom</t>
  </si>
  <si>
    <t>Mace</t>
  </si>
  <si>
    <t>Stone Flower</t>
  </si>
  <si>
    <t>Immunity Booster</t>
  </si>
  <si>
    <t>Asafoetida</t>
  </si>
  <si>
    <t>Bisibele Bhat Masala</t>
  </si>
  <si>
    <t>GST</t>
  </si>
  <si>
    <t>Transport From Farmer to Transporter</t>
  </si>
  <si>
    <t>Intercity/State Transport</t>
  </si>
  <si>
    <t>Storage Cost</t>
  </si>
  <si>
    <t>Miscellaneous Costs</t>
  </si>
  <si>
    <t>Local Transport</t>
  </si>
  <si>
    <t>Sl. No.</t>
  </si>
  <si>
    <t>Ingredients</t>
  </si>
  <si>
    <t>Qty in [g]</t>
  </si>
  <si>
    <t>Cost in [INR] Pune</t>
  </si>
  <si>
    <t>Cost in [INR] Mumbai</t>
  </si>
  <si>
    <t>Kusha New</t>
  </si>
  <si>
    <t>For 1000g</t>
  </si>
  <si>
    <t>Chandan Burada</t>
  </si>
  <si>
    <t>Green Cardamom</t>
  </si>
  <si>
    <t>Khus Ka Jad</t>
  </si>
  <si>
    <t>Pan Ka Jad</t>
  </si>
  <si>
    <t>Rasam Masala</t>
  </si>
  <si>
    <t>Dried Curry Leaves</t>
  </si>
  <si>
    <t>Fenugreek Seeds</t>
  </si>
  <si>
    <t>Mustard Seeds</t>
  </si>
  <si>
    <t>Rice</t>
  </si>
  <si>
    <t>Bengal Gram [Channa Dal]</t>
  </si>
  <si>
    <t>Pigeon Pea [Tur Dal]</t>
  </si>
  <si>
    <t>Sabji Masala</t>
  </si>
  <si>
    <t>Dried Garlic Powder</t>
  </si>
  <si>
    <t>Tata Salt</t>
  </si>
  <si>
    <t>Sambar Masala</t>
  </si>
  <si>
    <t>Gun Powder Chutney</t>
  </si>
  <si>
    <t>Seasoning</t>
  </si>
  <si>
    <t>Multi-grain Special Dal Chutney Powder</t>
  </si>
  <si>
    <t>Dessicated Coconut Powder</t>
  </si>
  <si>
    <t>Peanut Chutney Powder</t>
  </si>
  <si>
    <t>Raw Gujarat Red Peanuts</t>
  </si>
  <si>
    <t>Pulihora Masala</t>
  </si>
  <si>
    <t>Kusha Rasam Powder</t>
  </si>
  <si>
    <t>White Sesame Seeds</t>
  </si>
  <si>
    <t>Wheat</t>
  </si>
  <si>
    <t>Basil Seeds</t>
  </si>
  <si>
    <t>Licorice [Mulaithi]</t>
  </si>
  <si>
    <t>For 100g</t>
  </si>
  <si>
    <t>Sr No.</t>
  </si>
  <si>
    <t>Refined Groundnut/Sunflower Oil</t>
  </si>
  <si>
    <t>Red Chilli Flakes Byadagi</t>
  </si>
  <si>
    <t>Jaggery Powder</t>
  </si>
  <si>
    <t>Black Gram [Urad Dal]</t>
  </si>
  <si>
    <t>Green Gram [Moong Dal]</t>
  </si>
  <si>
    <t>Dried Ginger Powder</t>
  </si>
  <si>
    <t>Shahi Garam Masala</t>
  </si>
  <si>
    <t>Black Sesame Seeds [Til]</t>
  </si>
  <si>
    <t>Tamarind Whole/Powder</t>
  </si>
  <si>
    <t>Sub Total</t>
  </si>
  <si>
    <t xml:space="preserve">Red Chilli Powder Byadagi </t>
  </si>
  <si>
    <t>Total Cost for 1000g</t>
  </si>
  <si>
    <t>Chaat Masala</t>
  </si>
  <si>
    <t>Punjabi Chole Masala</t>
  </si>
  <si>
    <t>Source</t>
  </si>
  <si>
    <t>Chandan Enterprise</t>
  </si>
  <si>
    <t>PR Exports</t>
  </si>
  <si>
    <t>Bengal Gram [Roasted] [Dhalia]</t>
  </si>
  <si>
    <t>Black Salt</t>
  </si>
  <si>
    <t>Carrom Seeds [Ajwain]</t>
  </si>
  <si>
    <t>Eternal Blooms</t>
  </si>
  <si>
    <t>Amazon</t>
  </si>
  <si>
    <t>Dadar Market</t>
  </si>
  <si>
    <t>Dried Fenugreek Leaves [Kasuri Methi]</t>
  </si>
  <si>
    <t>Dried Mango Powder [Amchur]</t>
  </si>
  <si>
    <t>Himalayan Pink Salt</t>
  </si>
  <si>
    <t>Kachari Powder</t>
  </si>
  <si>
    <t>Mint Leaves Powder</t>
  </si>
  <si>
    <t>Pomogranate Seeds [Anardana]</t>
  </si>
  <si>
    <t>Red Chilli Flakes C5</t>
  </si>
  <si>
    <t>SMR</t>
  </si>
  <si>
    <t>Red Chilli Powder C5</t>
  </si>
  <si>
    <t>Red Chilli Whole C5</t>
  </si>
  <si>
    <t>Red Chilli Flakes Guntur</t>
  </si>
  <si>
    <t>Red Chilli Powder Guntur</t>
  </si>
  <si>
    <t>Red Chilli Whole Guntur</t>
  </si>
  <si>
    <t>Red Chilli Flakes Kashmiri</t>
  </si>
  <si>
    <t>D Mart</t>
  </si>
  <si>
    <t>Red Chilli Flakes Teja</t>
  </si>
  <si>
    <t>Red Chilli Powder Teja</t>
  </si>
  <si>
    <t>Red Chilli Whole Teja</t>
  </si>
  <si>
    <t>Sichuan Peppercorn</t>
  </si>
  <si>
    <t>Chilli Oil Spice Blend A</t>
  </si>
  <si>
    <t>Chilli Oil Spice Blend B</t>
  </si>
  <si>
    <t>Chilli Oil Spice Blend C</t>
  </si>
  <si>
    <t>Chilli Oil Spice Blend D</t>
  </si>
  <si>
    <t>Chilli Oil Spice Blend C Revised</t>
  </si>
  <si>
    <t>Total</t>
  </si>
  <si>
    <t>Multigrain Metkut Powder</t>
  </si>
  <si>
    <t xml:space="preserve"> </t>
  </si>
  <si>
    <t>Ashwagandha</t>
  </si>
  <si>
    <t>Baje Calamus Root</t>
  </si>
  <si>
    <t>Vayu Vidinga</t>
  </si>
  <si>
    <t>Na Risa</t>
  </si>
  <si>
    <t>Rose Petals Powder</t>
  </si>
  <si>
    <t>Moringa Powder</t>
  </si>
  <si>
    <t>Long Pepper [Pipali]</t>
  </si>
  <si>
    <t xml:space="preserve">Dill Seeds [Bal Shepa] </t>
  </si>
  <si>
    <t>Name of the item</t>
  </si>
  <si>
    <t>Candy Sugar [Khadi Sakhar] [Mishri]</t>
  </si>
  <si>
    <t>G</t>
  </si>
  <si>
    <t>H=GST on G</t>
  </si>
  <si>
    <t>Labour Cost</t>
  </si>
  <si>
    <t>Stickering Material</t>
  </si>
  <si>
    <t>Packing Cost With GST</t>
  </si>
  <si>
    <t>Transport Cost With GST</t>
  </si>
  <si>
    <t>Intercity/State Transport With GST</t>
  </si>
  <si>
    <t>Local Transport With GST</t>
  </si>
  <si>
    <t>E=GST on D</t>
  </si>
  <si>
    <t>F=D+E</t>
  </si>
  <si>
    <t>I=G+F</t>
  </si>
  <si>
    <t>J</t>
  </si>
  <si>
    <t>K=GST on J</t>
  </si>
  <si>
    <t>L=J+K</t>
  </si>
  <si>
    <t>M</t>
  </si>
  <si>
    <t>N=GST on M</t>
  </si>
  <si>
    <t>O=M+N</t>
  </si>
  <si>
    <t>P=A+D+G+J+M</t>
  </si>
  <si>
    <t>Q=C+F+I+L+O</t>
  </si>
  <si>
    <t>Manufacturers Packaging Cost</t>
  </si>
  <si>
    <t>R=P/1000</t>
  </si>
  <si>
    <t>S=Q/1000</t>
  </si>
  <si>
    <t>Sr.No.</t>
  </si>
  <si>
    <t>Laxnar Eternal Holdings Pvt Ltd</t>
  </si>
  <si>
    <t>Sr. No.</t>
  </si>
  <si>
    <t>Item</t>
  </si>
  <si>
    <t>Name in Hindi</t>
  </si>
  <si>
    <t>Sources</t>
  </si>
  <si>
    <t>Packaging Cost With GST</t>
  </si>
  <si>
    <t>Cost of sticker with GST</t>
  </si>
  <si>
    <t>काली इलाइची</t>
  </si>
  <si>
    <t>इलायची</t>
  </si>
  <si>
    <t>Cassia Cinnamon Flakes</t>
  </si>
  <si>
    <t>कासिया दालचीनी</t>
  </si>
  <si>
    <t>लौंग</t>
  </si>
  <si>
    <t xml:space="preserve">Original Indian Bay Leaf </t>
  </si>
  <si>
    <t>तेज पत्ता</t>
  </si>
  <si>
    <t>केरला दालचीनी</t>
  </si>
  <si>
    <t>Red Chilli Whole - Byadagi</t>
  </si>
  <si>
    <t>लाल मिर्च - ब्याडगी</t>
  </si>
  <si>
    <t>Red Chilli Whole - Kashmiri</t>
  </si>
  <si>
    <t>लाल मिर्च - कश्मीरी</t>
  </si>
  <si>
    <t>काली मिर्च</t>
  </si>
  <si>
    <t>धनिया</t>
  </si>
  <si>
    <t>जीरा</t>
  </si>
  <si>
    <t>राइ</t>
  </si>
  <si>
    <t>जावित्री</t>
  </si>
  <si>
    <t>जायफल</t>
  </si>
  <si>
    <t>चक्र फूल</t>
  </si>
  <si>
    <t>Black Pepper Powder</t>
  </si>
  <si>
    <t>काली मिर्च पाउडर</t>
  </si>
  <si>
    <t>Coriander Seeds Powder</t>
  </si>
  <si>
    <t>धनिया पाउडर</t>
  </si>
  <si>
    <t>Cumin Seeds Powder</t>
  </si>
  <si>
    <t>जीरा पाउडर</t>
  </si>
  <si>
    <t>धनिया - जीरा  पाउडर</t>
  </si>
  <si>
    <t>Red Chilli Powder - Mildly Spicy</t>
  </si>
  <si>
    <t>लाल मिर्च पाउडर – सौम्य मसालेदार</t>
  </si>
  <si>
    <t>Red Chilli Powder - Medium Spicy</t>
  </si>
  <si>
    <t>लाल मिर्च पाउडर मध्यम मसालेदार</t>
  </si>
  <si>
    <t>Red Chilli Powder - Very Spicy</t>
  </si>
  <si>
    <t>लाल मिर्च पाउडर – तीव्र मसालेदार</t>
  </si>
  <si>
    <t>Red Chilli Powder - Premium Kashmiri</t>
  </si>
  <si>
    <t>लाल मिर्च पाउडर – प्रीमियम कश्मीरी</t>
  </si>
  <si>
    <t>Turmeric Powder - Erode</t>
  </si>
  <si>
    <t>हल्दी पाउडर - इरोड</t>
  </si>
  <si>
    <t>Turmeric Powder - Lakadong</t>
  </si>
  <si>
    <t>हल्दी पाउडर - लकडोंग</t>
  </si>
  <si>
    <t>हींग</t>
  </si>
  <si>
    <t>चाट मसाला</t>
  </si>
  <si>
    <t>पंजाबी चना मसाला</t>
  </si>
  <si>
    <t>गरम मसाला</t>
  </si>
  <si>
    <t>Rasam Masala Powder</t>
  </si>
  <si>
    <t>रसम मसाला</t>
  </si>
  <si>
    <t>Sambar Masala Powder</t>
  </si>
  <si>
    <t>सांभर मसाला</t>
  </si>
  <si>
    <t>Sabji Masala Powder</t>
  </si>
  <si>
    <t>सब्जी  मसाला</t>
  </si>
  <si>
    <t xml:space="preserve">पाव भाजी मसाला </t>
  </si>
  <si>
    <t xml:space="preserve">बिसिबेले भात मसाला </t>
  </si>
  <si>
    <t xml:space="preserve">प्रीमियम चाय मसाला </t>
  </si>
  <si>
    <t>Premium Kashmiri Saffron</t>
  </si>
  <si>
    <t>प्रीमियम कश्मीरी केसर</t>
  </si>
  <si>
    <t>Gun Powder - Without Garlic</t>
  </si>
  <si>
    <t>गन पाउडर चटनी</t>
  </si>
  <si>
    <t>Multi-grain Special Chutney Powder</t>
  </si>
  <si>
    <t>मल्टी ग्रेन स्पेशल चटनी पाउडर</t>
  </si>
  <si>
    <t>Peanut Chutney Powder - Without Garlic</t>
  </si>
  <si>
    <t>मूंगफली चटनी पाउडर</t>
  </si>
  <si>
    <t>Pulihora Masala Powder</t>
  </si>
  <si>
    <t>पुलिहोरा</t>
  </si>
  <si>
    <t>Multi-grain Metkut Powder</t>
  </si>
  <si>
    <t>मल्टीग्रैन मेतकूट पाउडर</t>
  </si>
  <si>
    <t>इम्युनिटी बूस्टर</t>
  </si>
  <si>
    <t>Very Spicy Mango Pickle</t>
  </si>
  <si>
    <t>आम का अचार – तीव्र मसालेदार</t>
  </si>
  <si>
    <t>Qty per Pack</t>
  </si>
  <si>
    <t>Raw Material Cost Per Kg/Cost Per Unit</t>
  </si>
  <si>
    <t>Raw Material Cost With GST Per Kg/ Cost Per Unit</t>
  </si>
  <si>
    <t>Landed Cost W/O GST (Per Kg)</t>
  </si>
  <si>
    <t>Landed Cost With GST (Per Kg)</t>
  </si>
  <si>
    <t>Landed Cost W/O GST (Per Gm)</t>
  </si>
  <si>
    <t>Landed Cost With GST (Per Gm)</t>
  </si>
  <si>
    <t>Description</t>
  </si>
  <si>
    <t>Packing Material</t>
  </si>
  <si>
    <t>Coriander Cumin Seeds Powder</t>
  </si>
  <si>
    <t>Packing Material for Shipping</t>
  </si>
  <si>
    <t>Shipping/Postage</t>
  </si>
  <si>
    <t>Packaging Cost Per Retail Pack</t>
  </si>
  <si>
    <t>Total Labour Cost</t>
  </si>
  <si>
    <t>Packaging Material for Shipping With GST</t>
  </si>
  <si>
    <t>Shipping/Postage With GST</t>
  </si>
  <si>
    <t>One side Transparent Stand Up with Zipper (25Gm-100Gm)</t>
  </si>
  <si>
    <t>Surface Xpressbees 0.5Kg-Within City</t>
  </si>
  <si>
    <t>Surface Xpressbees 1Kg-Within City</t>
  </si>
  <si>
    <t>Surface Xpressbees 1Kg-Within State</t>
  </si>
  <si>
    <t>Surface Xpressbees 2Kg-Within State</t>
  </si>
  <si>
    <t>Surface Xpressbees 5Kg-Within State</t>
  </si>
  <si>
    <t>Surface Xpressbees 10Kg-Within State</t>
  </si>
  <si>
    <t>Surface Xpressbees 0.5Kg-Metro to Metro</t>
  </si>
  <si>
    <t>Surface Xpressbees 1Kg-Metro to Metro</t>
  </si>
  <si>
    <t>Surface Xpressbees 2Kg-Metro to Metro</t>
  </si>
  <si>
    <t>Surface Xpressbees 5Kg-Metro to Metro</t>
  </si>
  <si>
    <t>Surface Xpressbees 10Kg-Metro to Metro</t>
  </si>
  <si>
    <t>Surface Xpressbees 0.5Kg-NE,J&amp;K,KL,AN</t>
  </si>
  <si>
    <t>Surface Xpressbees 1Kg-NE,J&amp;K,KL,AN</t>
  </si>
  <si>
    <t>Surface Xpressbees 2Kg-NE,J&amp;K,KL,AN</t>
  </si>
  <si>
    <t>Surface Xpressbees 5Kg-NE,J&amp;K,KL,AN</t>
  </si>
  <si>
    <t>Surface Xpressbees 10Kg-NE,J&amp;K,KL,AN</t>
  </si>
  <si>
    <t>Surface Xpressbees 10Kg-Rest of India</t>
  </si>
  <si>
    <t>Surface Xpressbees 0.5Kg-Rest of India</t>
  </si>
  <si>
    <t>Surface Xpressbees 1Kg-Rest of India</t>
  </si>
  <si>
    <t>Surface Xpressbees 2Kg-Rest of India</t>
  </si>
  <si>
    <t>Surface Xpressbees 5Kg-Rest of India</t>
  </si>
  <si>
    <t>Landed Cost of Goods With GST Per Kg</t>
  </si>
  <si>
    <t>Landed Cost of Goods With GST Per Gm</t>
  </si>
  <si>
    <t>Total Cost Per Kg</t>
  </si>
  <si>
    <t>Brown Kraft Paper with Window &amp; Zipper (25Gm-100Gm)</t>
  </si>
  <si>
    <t>Both Sides Metallic Stand Up Without Zipper (25Gm-100Gm)</t>
  </si>
  <si>
    <t>Both Sides Metallic Stand Up With Zipper (25Gm-100Gm)</t>
  </si>
  <si>
    <t>Bubble Pouch Small</t>
  </si>
  <si>
    <t>Bubble Pouch Medium</t>
  </si>
  <si>
    <t>Bubble Pouch Large</t>
  </si>
  <si>
    <t>Three Ply Box</t>
  </si>
  <si>
    <t>Five Ply Box</t>
  </si>
  <si>
    <t>Pizza Box Small</t>
  </si>
  <si>
    <t>Pizza Box Large</t>
  </si>
  <si>
    <t>Kapok Buds</t>
  </si>
  <si>
    <t>मराठी मोग्गू</t>
  </si>
  <si>
    <t>Kabab Chini</t>
  </si>
  <si>
    <t>कबाब चीनी</t>
  </si>
  <si>
    <t>काला जीरा</t>
  </si>
  <si>
    <t>दगड़ फूल</t>
  </si>
  <si>
    <t>S.No</t>
  </si>
  <si>
    <t>Product</t>
  </si>
  <si>
    <t>Name</t>
  </si>
  <si>
    <t>Black Pepper Bold</t>
  </si>
  <si>
    <t>No. Of Retail Packs Per Kg</t>
  </si>
  <si>
    <t>NA</t>
  </si>
  <si>
    <t>Miscellaneous Costs Percentage</t>
  </si>
  <si>
    <t>Sr.No</t>
  </si>
  <si>
    <t>call</t>
  </si>
  <si>
    <t>QTY</t>
  </si>
  <si>
    <t>1kg</t>
  </si>
  <si>
    <t>No. Of Units Of PM Required for Selected Retail Packs</t>
  </si>
  <si>
    <t>Black Cumin</t>
  </si>
  <si>
    <t>500Gm</t>
  </si>
  <si>
    <t>Pouches for Kg</t>
  </si>
  <si>
    <t>Pouches for 500Gm</t>
  </si>
  <si>
    <t>In House Production</t>
  </si>
  <si>
    <t>Essence Retail Ventures Private Limited</t>
  </si>
  <si>
    <t>USA Packaging Cost-MRP Analysis</t>
  </si>
  <si>
    <t>Recycle Box</t>
  </si>
  <si>
    <t>Jose Varghese</t>
  </si>
  <si>
    <t>Chilli Red Patna</t>
  </si>
  <si>
    <t>Chilly Red Mathania</t>
  </si>
  <si>
    <t>Khus Ki Jad</t>
  </si>
  <si>
    <t>Saunf Badi Lucknowi</t>
  </si>
  <si>
    <t>Saunf Sweet</t>
  </si>
  <si>
    <t>Mustard Seeds Yellow</t>
  </si>
  <si>
    <t>Whole Reetha Dry</t>
  </si>
  <si>
    <t>Ginger Dry</t>
  </si>
  <si>
    <t>Ginger Dry Powder</t>
  </si>
  <si>
    <t>Kalongi</t>
  </si>
  <si>
    <t>Pippali</t>
  </si>
  <si>
    <t>Cassia Cinnamon Rolls</t>
  </si>
  <si>
    <t>Total Cost Per Pack</t>
  </si>
  <si>
    <t>Size in grams</t>
  </si>
  <si>
    <t>Type</t>
  </si>
  <si>
    <t>Wholesale</t>
  </si>
  <si>
    <t>Retail</t>
  </si>
  <si>
    <t>Total Cost</t>
  </si>
  <si>
    <t>Landed Cost of Goods Per Gm</t>
  </si>
  <si>
    <t>Total Packaging Cost</t>
  </si>
  <si>
    <t>Cost of sticker</t>
  </si>
  <si>
    <t>Packaging Material for Shipping</t>
  </si>
  <si>
    <t>Vendor</t>
  </si>
  <si>
    <t>Maruthi Plastics</t>
  </si>
  <si>
    <t>Foil Clear Stand Up Pouch 70 g</t>
  </si>
  <si>
    <t>Foil Stand Up Pouches 28 g</t>
  </si>
  <si>
    <t>Foil Stand Up Pouches 70 g</t>
  </si>
  <si>
    <t>Flat Bottom Pouches With Normal Zipper 250 g</t>
  </si>
  <si>
    <t>Flat Bottom Pouches With Normal Zipper 340 g</t>
  </si>
  <si>
    <t>Flat Bottom Pouches With Normal Zipper 500 g</t>
  </si>
  <si>
    <t>Flat Bottom Pouches With Normal Zipper 1 kg</t>
  </si>
  <si>
    <t>Tester</t>
  </si>
  <si>
    <t>Market</t>
  </si>
  <si>
    <t>India</t>
  </si>
  <si>
    <t>US</t>
  </si>
  <si>
    <t>Wages per month</t>
  </si>
  <si>
    <t>No. of working days</t>
  </si>
  <si>
    <t>Packaging to be done per day per person</t>
  </si>
  <si>
    <t>Labour Cost per packet</t>
  </si>
  <si>
    <t>Swiss Pac</t>
  </si>
  <si>
    <t>Index</t>
  </si>
  <si>
    <t>Labour_Cost</t>
  </si>
  <si>
    <t>Labour_Cost_Working</t>
  </si>
  <si>
    <t>Packaging_Cost</t>
  </si>
  <si>
    <t>Maruthi_Plastics_Packing_Material_Cost</t>
  </si>
  <si>
    <t>Swiss_Pac_Packing_Material_Cost</t>
  </si>
  <si>
    <t>Raw_Material_Cost</t>
  </si>
  <si>
    <t>100Gm</t>
  </si>
  <si>
    <t>Pouches for 100Gm</t>
  </si>
  <si>
    <t>50Gm</t>
  </si>
  <si>
    <t>Pouches for 50Gm</t>
  </si>
  <si>
    <t>250Gm</t>
  </si>
  <si>
    <t>10gm</t>
  </si>
  <si>
    <t>5gm</t>
  </si>
  <si>
    <t>1gm</t>
  </si>
  <si>
    <t>PM Required</t>
  </si>
  <si>
    <t>Vendor Transport Costs</t>
  </si>
  <si>
    <t>Raw Materials Source Costs</t>
  </si>
  <si>
    <t>Masala &amp; Blends Costing</t>
  </si>
  <si>
    <t>Maruti Plastics</t>
  </si>
  <si>
    <t>Swiss Pak</t>
  </si>
  <si>
    <t>Energy &amp; Miscellaneous Cost (%)</t>
  </si>
  <si>
    <t xml:space="preserve">Energy &amp; Miscellaneous Cost </t>
  </si>
  <si>
    <t>Yes</t>
  </si>
  <si>
    <t>No</t>
  </si>
  <si>
    <t>Dried Curry leaves</t>
  </si>
  <si>
    <t>fenugreek Seeds</t>
  </si>
  <si>
    <t>Nadha Spices</t>
  </si>
  <si>
    <t>Packing Material Maruthi Plastics</t>
  </si>
  <si>
    <t>Ali Kikabai</t>
  </si>
  <si>
    <t>Packing Material Swiss Pac</t>
  </si>
  <si>
    <t>APMC Cess</t>
  </si>
  <si>
    <t>check</t>
  </si>
  <si>
    <t>MS Malagi</t>
  </si>
  <si>
    <t>Shree Maruthi Couriers-Local</t>
  </si>
  <si>
    <t>Shree Maruthi Couriers-Within State</t>
  </si>
  <si>
    <t>Shree Maruthi Couriers-Zone</t>
  </si>
  <si>
    <t>Shree Maruthi Couriers-Metro</t>
  </si>
  <si>
    <t>Shree Maruthi Couriers-Rest of India</t>
  </si>
  <si>
    <t>Shree Maruthi Couriers-Special Location (North East / J.K / H.P / Kerala)</t>
  </si>
  <si>
    <t>Surface</t>
  </si>
  <si>
    <t>Air</t>
  </si>
  <si>
    <t>Fast Track Air (500gms)</t>
  </si>
  <si>
    <t>Fast Track Air (1000gms)</t>
  </si>
  <si>
    <t>In House Production Value</t>
  </si>
  <si>
    <t>Labour Cost Working</t>
  </si>
  <si>
    <t>Comart</t>
  </si>
  <si>
    <t>Surface Xpressbees 2Kg-Within City</t>
  </si>
  <si>
    <t>Surface Xpressbees 5Kg-Within City</t>
  </si>
  <si>
    <t>Surface Xpressbees 10Kg-Within City</t>
  </si>
  <si>
    <t>Surface Xpressbees 0.5Kg-Within State</t>
  </si>
  <si>
    <t>No. Of Units Of PM Required for Selected Retail Packs for Maruthi Plastics</t>
  </si>
  <si>
    <t>No. Of Units Of PM Required for Selected Retail Packs for Swiss Pak</t>
  </si>
  <si>
    <t>PACKAGING COST - PRIMARY</t>
  </si>
  <si>
    <t>PACKAGING COST - SECONDARY</t>
  </si>
  <si>
    <t>COURIER COST</t>
  </si>
  <si>
    <t>RAW MATERIALS COST</t>
  </si>
  <si>
    <t>Total Amount</t>
  </si>
  <si>
    <t>No. of Kgs</t>
  </si>
  <si>
    <t>Per Kg Cost</t>
  </si>
  <si>
    <t>VENDOR TRANSPORT COSTS</t>
  </si>
  <si>
    <t>VENDOR TRANSPORT COSTS CALCULATION</t>
  </si>
  <si>
    <t>RAW MATERIALS SOURCE COST</t>
  </si>
  <si>
    <t>Vendor Transport Cost Calculation</t>
  </si>
  <si>
    <t>PM Specifications</t>
  </si>
  <si>
    <t>Drop Down Validation Master</t>
  </si>
  <si>
    <t>MASALA &amp; BLENDS COSTING</t>
  </si>
  <si>
    <t>Bharat Arya Aushadhi Bhandar</t>
  </si>
  <si>
    <t>MRP</t>
  </si>
  <si>
    <t>25g</t>
  </si>
  <si>
    <t>50g</t>
  </si>
  <si>
    <t>100g</t>
  </si>
  <si>
    <t>500g</t>
  </si>
  <si>
    <t>-</t>
  </si>
  <si>
    <t>1g</t>
  </si>
  <si>
    <t>New Shipping/Postage</t>
  </si>
  <si>
    <t>Rent</t>
  </si>
  <si>
    <t>Electricity</t>
  </si>
  <si>
    <t xml:space="preserve">Labour </t>
  </si>
  <si>
    <t xml:space="preserve">Storage area </t>
  </si>
  <si>
    <t>Per Day</t>
  </si>
  <si>
    <t>Total Inventory (kgs)</t>
  </si>
  <si>
    <t>Per kg per day</t>
  </si>
  <si>
    <t>Avg holding period (days)</t>
  </si>
  <si>
    <t>Cost per holding period</t>
  </si>
  <si>
    <t>For 500g</t>
  </si>
  <si>
    <t>Average Shipping for 1kg</t>
  </si>
  <si>
    <t>Average Shipping for 500g</t>
  </si>
  <si>
    <t>Average Shipping for 100g</t>
  </si>
  <si>
    <t>Average Shipping for 50g</t>
  </si>
  <si>
    <t>Average Shipping for 25g</t>
  </si>
  <si>
    <t>Average Shipping for 250g</t>
  </si>
  <si>
    <t>Average Shipping for 1g</t>
  </si>
  <si>
    <t>Storage Calculation</t>
  </si>
  <si>
    <t>Shipping Calculation</t>
  </si>
  <si>
    <t>Total Cost with New Shipping</t>
  </si>
  <si>
    <t>Cost per kg</t>
  </si>
  <si>
    <t>Cost per gram</t>
  </si>
  <si>
    <t>Fennel Seeds [Badi Saunf]</t>
  </si>
  <si>
    <t>1000g</t>
  </si>
  <si>
    <t>Old Cost</t>
  </si>
  <si>
    <t>Profit</t>
  </si>
  <si>
    <t>New Cost</t>
  </si>
  <si>
    <t>One side Transparent Flat Bottom with Zipper (500Gm)</t>
  </si>
  <si>
    <t>One side Transparent Flat Bottom with Zipper (1000Gm)</t>
  </si>
  <si>
    <t>Ideal Source Cost/kg</t>
  </si>
  <si>
    <t>Pizza Box Medium</t>
  </si>
  <si>
    <t>Bubble Pouch Extra Large</t>
  </si>
  <si>
    <t xml:space="preserve">	EPCB-BUBPOD-8X10</t>
  </si>
  <si>
    <t xml:space="preserve">	EPCB-BUBPOD-10X12</t>
  </si>
  <si>
    <t xml:space="preserve">	EPCB-BUBPOD-12X16</t>
  </si>
  <si>
    <t xml:space="preserve">	EPCB-BUBPOD-15X19</t>
  </si>
  <si>
    <t>Packing Material for Shipping Calculation</t>
  </si>
  <si>
    <t>250g</t>
  </si>
  <si>
    <t>Energy &amp; Miscellaneous Cost @10%</t>
  </si>
  <si>
    <t>Premium Garam Masala</t>
  </si>
  <si>
    <t>Amount</t>
  </si>
  <si>
    <t>Masala</t>
  </si>
  <si>
    <t>1kg New</t>
  </si>
  <si>
    <t>1kg Old</t>
  </si>
  <si>
    <t>500g New</t>
  </si>
  <si>
    <t>500g Old</t>
  </si>
  <si>
    <t>1kg Retail</t>
  </si>
  <si>
    <t>500g Retail</t>
  </si>
  <si>
    <t>Recommended Wholesale % of Retail</t>
  </si>
  <si>
    <t>Category</t>
  </si>
  <si>
    <t>Ultra Premium / Origin</t>
  </si>
  <si>
    <t>Mid Premium</t>
  </si>
  <si>
    <t>Premium Origin</t>
  </si>
  <si>
    <t>Original Indian Bay Leaf</t>
  </si>
  <si>
    <t>Commodity</t>
  </si>
  <si>
    <t>Commodity / Mid Premium</t>
  </si>
  <si>
    <t>Ultra Premium</t>
  </si>
  <si>
    <t>Premium Specialty</t>
  </si>
  <si>
    <t>Masala / Blend</t>
  </si>
  <si>
    <t>Ultra Premium Origin</t>
  </si>
  <si>
    <t>Premium Masala</t>
  </si>
  <si>
    <t>Ultra Premium Blend</t>
  </si>
  <si>
    <t>Ultra Premium Luxury</t>
  </si>
  <si>
    <t>Blend</t>
  </si>
  <si>
    <t>Premium Wellness Blend</t>
  </si>
  <si>
    <t>Processed Food</t>
  </si>
  <si>
    <t>1kg New Revised</t>
  </si>
  <si>
    <t>500g New Revised</t>
  </si>
  <si>
    <t>Difference 1</t>
  </si>
  <si>
    <t>Difference 2</t>
  </si>
  <si>
    <t>Kusha Wholesale Pricing Backend Logic</t>
  </si>
  <si>
    <t>Factor</t>
  </si>
  <si>
    <t>Weight</t>
  </si>
  <si>
    <t>Score</t>
  </si>
  <si>
    <t>Meaning</t>
  </si>
  <si>
    <t>Differentiation / Origin Value</t>
  </si>
  <si>
    <t>Very low premium / highly commodity</t>
  </si>
  <si>
    <t>Comparability</t>
  </si>
  <si>
    <t>Low-mid premium</t>
  </si>
  <si>
    <t>Value Addition / Processing</t>
  </si>
  <si>
    <t>Moderate differentiation</t>
  </si>
  <si>
    <t>Price Elasticity</t>
  </si>
  <si>
    <t>Premium / less comparable</t>
  </si>
  <si>
    <t>Brand / Premium Pull</t>
  </si>
  <si>
    <t>Ultra premium / very strong pricing power</t>
  </si>
  <si>
    <t>Base Wholesale %</t>
  </si>
  <si>
    <t>Maximum Wholesale %</t>
  </si>
  <si>
    <t>Recommended Range</t>
  </si>
  <si>
    <t>Why</t>
  </si>
  <si>
    <t>Commodity spices</t>
  </si>
  <si>
    <t>70–75%</t>
  </si>
  <si>
    <t>High comparability + high price elasticity, so caterer needs a larger gap from retail.</t>
  </si>
  <si>
    <t>Mid premium spices</t>
  </si>
  <si>
    <t>75–82%</t>
  </si>
  <si>
    <t>Some quality/origin value, but still comparable.</t>
  </si>
  <si>
    <t>Premium origin spices</t>
  </si>
  <si>
    <t>82–88%</t>
  </si>
  <si>
    <t>Origin, aroma, authenticity and story reduce direct price comparison.</t>
  </si>
  <si>
    <t>Masalas / Blends</t>
  </si>
  <si>
    <t>75–85%</t>
  </si>
  <si>
    <t>Recipe and processing add value, but FMCG competition remains.</t>
  </si>
  <si>
    <t>Ultra premium</t>
  </si>
  <si>
    <t>88–92%</t>
  </si>
  <si>
    <t>Low-volume, high-trust, authenticity-led products can stay closer to retail.</t>
  </si>
  <si>
    <t>Important Note</t>
  </si>
  <si>
    <t>This is a strategy model, not market benchmarking. Competitor MRPs were not scraped SKU-by-SKU here.</t>
  </si>
  <si>
    <t>Use this model as the first pricing architecture, then validate with actual competitor pricing, old caterer response, and gross margin.</t>
  </si>
  <si>
    <t>For final prices, add columns for Retail MRP, Old Wholesale, Cost, Min Margin %, and then round to psychological price points.</t>
  </si>
  <si>
    <t>Weighted Score</t>
  </si>
  <si>
    <t>Pricing Band</t>
  </si>
  <si>
    <t>Formula Logic</t>
  </si>
  <si>
    <t>Quick Inputs For Final Price Sheet</t>
  </si>
  <si>
    <t>Column Needed</t>
  </si>
  <si>
    <t>Formula</t>
  </si>
  <si>
    <t>Purpose</t>
  </si>
  <si>
    <t>Retail MRP</t>
  </si>
  <si>
    <t>=Retail MRP × Recommended %</t>
  </si>
  <si>
    <t>Anchor price</t>
  </si>
  <si>
    <t>Old Wholesale</t>
  </si>
  <si>
    <t>=MAX(Old Wholesale, New Wholesale)</t>
  </si>
  <si>
    <t>Avoid decrease</t>
  </si>
  <si>
    <t>True Cost</t>
  </si>
  <si>
    <t>=Final Price - True Cost</t>
  </si>
  <si>
    <t>Margin check</t>
  </si>
  <si>
    <t>Final Wholesale</t>
  </si>
  <si>
    <t>=MIN(Retail MRP-1, MAX(Old Wholesale, Retail MRP×%))</t>
  </si>
  <si>
    <t>More than old, lower than retail</t>
  </si>
  <si>
    <t>Original Kerala Cinnamon Powder</t>
  </si>
  <si>
    <t>GST %</t>
  </si>
  <si>
    <t>Black Cardamom For Powdering</t>
  </si>
  <si>
    <t>Cassia Cinnamon Rolls For Powdering</t>
  </si>
  <si>
    <t>Green Cardamom For Powdering</t>
  </si>
  <si>
    <t>Indian Sarsaparilla [Anantamul]</t>
  </si>
  <si>
    <t>True Ventures</t>
  </si>
  <si>
    <t>done</t>
  </si>
  <si>
    <t>1kg Cost</t>
  </si>
  <si>
    <t>500g Cost</t>
  </si>
  <si>
    <t>1kg Wholesale</t>
  </si>
  <si>
    <t>500g  Wholesale</t>
  </si>
  <si>
    <t>Kusha Spices</t>
  </si>
  <si>
    <t>Spicy Lime Pickle</t>
  </si>
  <si>
    <t>Premium Biryani Masala</t>
  </si>
  <si>
    <t>Haldi Doodh Powder</t>
  </si>
  <si>
    <t>Energy &amp; Miscellaneous Cost @5%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</si>
</sst>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₹&quot;#,##0_);[Red]\(&quot;₹&quot;#,##0\)"/>
    <numFmt numFmtId="8" formatCode="&quot;₹&quot;#,##0.00_);[Red]\(&quot;₹&quot;#,##0.00\)"/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"/>
    <numFmt numFmtId="167" formatCode="_ * #,##0_ ;_ * \-#,##0_ ;_ * &quot;-&quot;??_ ;_ @_ "/>
    <numFmt numFmtId="168" formatCode="&quot;₹&quot;#,##0.00"/>
    <numFmt numFmtId="169" formatCode="&quot;₹&quot;#,##0"/>
  </numFmts>
  <fonts count="5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ajor"/>
    </font>
    <font>
      <sz val="11"/>
      <color rgb="FFFF0000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0"/>
      <color rgb="FF000000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0"/>
      <color rgb="FF000000"/>
      <name val="Calibri"/>
      <family val="2"/>
      <scheme val="minor"/>
    </font>
    <font>
      <u/>
      <sz val="11"/>
      <color theme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1"/>
      <name val="Calibri"/>
      <family val="2"/>
      <scheme val="major"/>
    </font>
    <font>
      <sz val="11"/>
      <color theme="1"/>
      <name val="Arial"/>
      <family val="2"/>
    </font>
    <font>
      <sz val="12"/>
      <color theme="1"/>
      <name val="Calibri"/>
      <family val="2"/>
      <scheme val="maj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22"/>
      <color theme="1"/>
      <name val="Calibri (Body)"/>
    </font>
    <font>
      <b/>
      <sz val="30"/>
      <color theme="1"/>
      <name val="Calibri"/>
      <family val="2"/>
      <scheme val="minor"/>
    </font>
    <font>
      <u/>
      <sz val="18"/>
      <color theme="10"/>
      <name val="Calibri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009B77"/>
      </patternFill>
    </fill>
    <fill>
      <patternFill patternType="solid">
        <fgColor rgb="FFE6E6E6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0" fillId="0" borderId="0"/>
    <xf numFmtId="0" fontId="10" fillId="0" borderId="0"/>
    <xf numFmtId="0" fontId="20" fillId="0" borderId="0"/>
    <xf numFmtId="0" fontId="24" fillId="0" borderId="0"/>
    <xf numFmtId="165" fontId="2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6" fillId="0" borderId="0"/>
    <xf numFmtId="164" fontId="2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9" fontId="40" fillId="0" borderId="0" applyFont="0" applyFill="0" applyBorder="0" applyAlignment="0" applyProtection="0"/>
    <xf numFmtId="44" fontId="48" fillId="0" borderId="0" applyFont="0" applyFill="0" applyBorder="0" applyAlignment="0" applyProtection="0"/>
  </cellStyleXfs>
  <cellXfs count="400">
    <xf numFmtId="0" fontId="0" fillId="0" borderId="0" xfId="0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0" borderId="0" xfId="0" applyFont="1"/>
    <xf numFmtId="1" fontId="11" fillId="0" borderId="1" xfId="0" applyNumberFormat="1" applyFont="1" applyBorder="1" applyAlignment="1">
      <alignment horizontal="center"/>
    </xf>
    <xf numFmtId="0" fontId="12" fillId="0" borderId="0" xfId="0" applyFont="1"/>
    <xf numFmtId="1" fontId="12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1" fillId="0" borderId="0" xfId="1" applyFont="1"/>
    <xf numFmtId="0" fontId="13" fillId="0" borderId="1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2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4" fillId="0" borderId="1" xfId="1" applyFont="1" applyBorder="1"/>
    <xf numFmtId="0" fontId="14" fillId="0" borderId="1" xfId="1" applyFont="1" applyBorder="1" applyAlignment="1">
      <alignment horizontal="center"/>
    </xf>
    <xf numFmtId="1" fontId="11" fillId="0" borderId="1" xfId="1" applyNumberFormat="1" applyFont="1" applyBorder="1" applyAlignment="1">
      <alignment horizontal="center"/>
    </xf>
    <xf numFmtId="2" fontId="12" fillId="0" borderId="1" xfId="1" applyNumberFormat="1" applyFont="1" applyBorder="1" applyAlignment="1">
      <alignment horizontal="center"/>
    </xf>
    <xf numFmtId="0" fontId="11" fillId="0" borderId="1" xfId="1" applyFont="1" applyBorder="1"/>
    <xf numFmtId="0" fontId="13" fillId="0" borderId="1" xfId="1" applyFont="1" applyBorder="1"/>
    <xf numFmtId="1" fontId="12" fillId="0" borderId="1" xfId="1" applyNumberFormat="1" applyFont="1" applyBorder="1" applyAlignment="1">
      <alignment horizontal="center"/>
    </xf>
    <xf numFmtId="0" fontId="12" fillId="0" borderId="0" xfId="1" applyFont="1"/>
    <xf numFmtId="0" fontId="18" fillId="0" borderId="1" xfId="1" applyFont="1" applyBorder="1"/>
    <xf numFmtId="0" fontId="17" fillId="0" borderId="1" xfId="1" applyFont="1" applyBorder="1" applyAlignment="1">
      <alignment horizontal="center"/>
    </xf>
    <xf numFmtId="1" fontId="18" fillId="0" borderId="1" xfId="1" applyNumberFormat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0" borderId="0" xfId="1" applyFont="1"/>
    <xf numFmtId="1" fontId="12" fillId="0" borderId="0" xfId="1" applyNumberFormat="1" applyFont="1" applyAlignment="1">
      <alignment horizontal="center"/>
    </xf>
    <xf numFmtId="0" fontId="13" fillId="0" borderId="0" xfId="1" applyFont="1"/>
    <xf numFmtId="0" fontId="11" fillId="3" borderId="1" xfId="1" applyFont="1" applyFill="1" applyBorder="1" applyAlignment="1">
      <alignment horizontal="center"/>
    </xf>
    <xf numFmtId="0" fontId="19" fillId="0" borderId="1" xfId="0" applyFont="1" applyBorder="1"/>
    <xf numFmtId="0" fontId="12" fillId="0" borderId="0" xfId="1" applyFont="1" applyAlignment="1">
      <alignment horizontal="center"/>
    </xf>
    <xf numFmtId="0" fontId="16" fillId="0" borderId="1" xfId="1" applyFont="1" applyBorder="1" applyAlignment="1">
      <alignment horizontal="center"/>
    </xf>
    <xf numFmtId="1" fontId="16" fillId="0" borderId="1" xfId="1" applyNumberFormat="1" applyFont="1" applyBorder="1" applyAlignment="1">
      <alignment horizontal="center"/>
    </xf>
    <xf numFmtId="0" fontId="12" fillId="0" borderId="1" xfId="1" applyFont="1" applyBorder="1"/>
    <xf numFmtId="0" fontId="13" fillId="0" borderId="4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2" fillId="0" borderId="4" xfId="1" applyFont="1" applyBorder="1"/>
    <xf numFmtId="0" fontId="11" fillId="0" borderId="4" xfId="1" applyFont="1" applyBorder="1" applyAlignment="1">
      <alignment horizontal="center"/>
    </xf>
    <xf numFmtId="0" fontId="16" fillId="0" borderId="4" xfId="1" applyFont="1" applyBorder="1" applyAlignment="1">
      <alignment horizontal="center"/>
    </xf>
    <xf numFmtId="1" fontId="16" fillId="0" borderId="4" xfId="1" applyNumberFormat="1" applyFont="1" applyBorder="1" applyAlignment="1">
      <alignment horizontal="center"/>
    </xf>
    <xf numFmtId="0" fontId="13" fillId="0" borderId="4" xfId="1" applyFont="1" applyBorder="1"/>
    <xf numFmtId="0" fontId="18" fillId="0" borderId="4" xfId="1" applyFont="1" applyBorder="1"/>
    <xf numFmtId="0" fontId="13" fillId="0" borderId="0" xfId="0" applyFont="1" applyAlignment="1">
      <alignment horizontal="center"/>
    </xf>
    <xf numFmtId="1" fontId="11" fillId="0" borderId="4" xfId="1" applyNumberFormat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1" fontId="19" fillId="0" borderId="1" xfId="1" applyNumberFormat="1" applyFont="1" applyBorder="1" applyAlignment="1">
      <alignment horizontal="center"/>
    </xf>
    <xf numFmtId="0" fontId="18" fillId="0" borderId="0" xfId="1" applyFont="1"/>
    <xf numFmtId="1" fontId="18" fillId="0" borderId="0" xfId="1" applyNumberFormat="1" applyFont="1" applyAlignment="1">
      <alignment horizontal="center"/>
    </xf>
    <xf numFmtId="0" fontId="21" fillId="0" borderId="0" xfId="0" applyFont="1"/>
    <xf numFmtId="0" fontId="21" fillId="0" borderId="1" xfId="0" applyFont="1" applyBorder="1"/>
    <xf numFmtId="2" fontId="18" fillId="0" borderId="1" xfId="1" applyNumberFormat="1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65" fontId="21" fillId="0" borderId="1" xfId="5" applyFont="1" applyBorder="1"/>
    <xf numFmtId="0" fontId="12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165" fontId="11" fillId="0" borderId="0" xfId="5" applyFont="1" applyAlignment="1">
      <alignment horizontal="center"/>
    </xf>
    <xf numFmtId="165" fontId="11" fillId="0" borderId="0" xfId="5" applyFont="1"/>
    <xf numFmtId="165" fontId="12" fillId="0" borderId="0" xfId="5" applyFont="1"/>
    <xf numFmtId="2" fontId="18" fillId="0" borderId="1" xfId="5" applyNumberFormat="1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 vertical="center"/>
    </xf>
    <xf numFmtId="1" fontId="5" fillId="0" borderId="1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/>
    <xf numFmtId="0" fontId="27" fillId="0" borderId="1" xfId="0" applyFont="1" applyBorder="1"/>
    <xf numFmtId="49" fontId="26" fillId="0" borderId="1" xfId="0" applyNumberFormat="1" applyFont="1" applyBorder="1" applyAlignment="1">
      <alignment horizontal="center" vertical="center"/>
    </xf>
    <xf numFmtId="166" fontId="12" fillId="2" borderId="1" xfId="2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21" fillId="0" borderId="1" xfId="5" applyFont="1" applyFill="1" applyBorder="1"/>
    <xf numFmtId="0" fontId="30" fillId="0" borderId="1" xfId="0" applyFont="1" applyBorder="1"/>
    <xf numFmtId="0" fontId="26" fillId="6" borderId="1" xfId="1" applyFont="1" applyFill="1" applyBorder="1" applyAlignment="1">
      <alignment horizontal="center" vertical="center" wrapText="1"/>
    </xf>
    <xf numFmtId="0" fontId="27" fillId="4" borderId="1" xfId="1" applyFont="1" applyFill="1" applyBorder="1" applyAlignment="1">
      <alignment horizontal="left" vertical="center" wrapText="1"/>
    </xf>
    <xf numFmtId="0" fontId="28" fillId="4" borderId="1" xfId="1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7" fillId="4" borderId="1" xfId="0" applyFont="1" applyFill="1" applyBorder="1"/>
    <xf numFmtId="0" fontId="21" fillId="4" borderId="1" xfId="0" applyFont="1" applyFill="1" applyBorder="1"/>
    <xf numFmtId="0" fontId="14" fillId="4" borderId="1" xfId="1" applyFont="1" applyFill="1" applyBorder="1" applyAlignment="1">
      <alignment horizontal="left" vertical="center" wrapText="1"/>
    </xf>
    <xf numFmtId="2" fontId="9" fillId="0" borderId="1" xfId="5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166" fontId="12" fillId="8" borderId="1" xfId="2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4" fillId="4" borderId="1" xfId="1" applyFont="1" applyFill="1" applyBorder="1" applyAlignment="1">
      <alignment horizontal="left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readingOrder="1"/>
    </xf>
    <xf numFmtId="0" fontId="9" fillId="4" borderId="1" xfId="0" applyFont="1" applyFill="1" applyBorder="1"/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wrapText="1"/>
    </xf>
    <xf numFmtId="0" fontId="29" fillId="0" borderId="0" xfId="0" applyFont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166" fontId="29" fillId="0" borderId="1" xfId="0" applyNumberFormat="1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2" fontId="29" fillId="0" borderId="1" xfId="5" applyNumberFormat="1" applyFont="1" applyFill="1" applyBorder="1" applyAlignment="1">
      <alignment horizontal="center" wrapText="1"/>
    </xf>
    <xf numFmtId="166" fontId="9" fillId="0" borderId="0" xfId="0" applyNumberFormat="1" applyFont="1"/>
    <xf numFmtId="0" fontId="29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left" wrapText="1" readingOrder="1"/>
    </xf>
    <xf numFmtId="0" fontId="29" fillId="0" borderId="1" xfId="0" applyFont="1" applyBorder="1" applyAlignment="1">
      <alignment wrapText="1"/>
    </xf>
    <xf numFmtId="0" fontId="29" fillId="0" borderId="1" xfId="0" quotePrefix="1" applyFont="1" applyBorder="1" applyAlignment="1">
      <alignment horizontal="left" wrapText="1"/>
    </xf>
    <xf numFmtId="0" fontId="32" fillId="5" borderId="1" xfId="0" applyFont="1" applyFill="1" applyBorder="1" applyAlignment="1">
      <alignment horizontal="center" vertical="center" wrapText="1"/>
    </xf>
    <xf numFmtId="166" fontId="31" fillId="5" borderId="1" xfId="2" applyNumberFormat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wrapText="1"/>
    </xf>
    <xf numFmtId="0" fontId="33" fillId="4" borderId="1" xfId="1" applyFont="1" applyFill="1" applyBorder="1" applyAlignment="1">
      <alignment horizontal="left" wrapText="1"/>
    </xf>
    <xf numFmtId="167" fontId="29" fillId="0" borderId="1" xfId="5" applyNumberFormat="1" applyFont="1" applyBorder="1" applyAlignment="1">
      <alignment horizontal="right" wrapText="1"/>
    </xf>
    <xf numFmtId="167" fontId="29" fillId="0" borderId="1" xfId="5" applyNumberFormat="1" applyFont="1" applyBorder="1" applyAlignment="1">
      <alignment wrapText="1"/>
    </xf>
    <xf numFmtId="0" fontId="22" fillId="10" borderId="0" xfId="0" applyFont="1" applyFill="1" applyAlignment="1">
      <alignment horizontal="center" wrapText="1"/>
    </xf>
    <xf numFmtId="0" fontId="31" fillId="10" borderId="7" xfId="0" applyFont="1" applyFill="1" applyBorder="1" applyAlignment="1">
      <alignment wrapText="1"/>
    </xf>
    <xf numFmtId="0" fontId="31" fillId="10" borderId="8" xfId="0" applyFont="1" applyFill="1" applyBorder="1" applyAlignment="1">
      <alignment wrapText="1"/>
    </xf>
    <xf numFmtId="0" fontId="27" fillId="0" borderId="1" xfId="0" applyFont="1" applyBorder="1" applyAlignment="1">
      <alignment wrapText="1"/>
    </xf>
    <xf numFmtId="0" fontId="2" fillId="0" borderId="1" xfId="0" applyFont="1" applyBorder="1"/>
    <xf numFmtId="0" fontId="27" fillId="0" borderId="1" xfId="0" applyFont="1" applyBorder="1" applyAlignment="1">
      <alignment horizontal="left" wrapText="1"/>
    </xf>
    <xf numFmtId="0" fontId="26" fillId="5" borderId="10" xfId="0" applyFont="1" applyFill="1" applyBorder="1" applyAlignment="1">
      <alignment horizontal="center" vertical="center" wrapText="1"/>
    </xf>
    <xf numFmtId="0" fontId="34" fillId="5" borderId="16" xfId="0" applyFont="1" applyFill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wrapText="1"/>
    </xf>
    <xf numFmtId="0" fontId="2" fillId="0" borderId="13" xfId="0" applyFont="1" applyBorder="1"/>
    <xf numFmtId="0" fontId="27" fillId="0" borderId="17" xfId="0" applyFont="1" applyBorder="1" applyAlignment="1">
      <alignment wrapText="1"/>
    </xf>
    <xf numFmtId="0" fontId="2" fillId="0" borderId="17" xfId="0" applyFont="1" applyBorder="1"/>
    <xf numFmtId="0" fontId="2" fillId="0" borderId="15" xfId="0" applyFont="1" applyBorder="1"/>
    <xf numFmtId="2" fontId="27" fillId="0" borderId="1" xfId="0" applyNumberFormat="1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27" fillId="0" borderId="17" xfId="0" applyFont="1" applyBorder="1"/>
    <xf numFmtId="0" fontId="2" fillId="3" borderId="1" xfId="0" applyFont="1" applyFill="1" applyBorder="1" applyAlignment="1">
      <alignment wrapText="1"/>
    </xf>
    <xf numFmtId="0" fontId="27" fillId="3" borderId="1" xfId="0" applyFont="1" applyFill="1" applyBorder="1" applyAlignment="1">
      <alignment wrapText="1"/>
    </xf>
    <xf numFmtId="0" fontId="27" fillId="3" borderId="13" xfId="0" applyFont="1" applyFill="1" applyBorder="1" applyAlignment="1">
      <alignment wrapText="1"/>
    </xf>
    <xf numFmtId="0" fontId="27" fillId="3" borderId="17" xfId="0" applyFont="1" applyFill="1" applyBorder="1" applyAlignment="1">
      <alignment wrapText="1"/>
    </xf>
    <xf numFmtId="0" fontId="2" fillId="3" borderId="17" xfId="0" applyFont="1" applyFill="1" applyBorder="1" applyAlignment="1">
      <alignment wrapText="1"/>
    </xf>
    <xf numFmtId="0" fontId="27" fillId="3" borderId="15" xfId="0" applyFont="1" applyFill="1" applyBorder="1" applyAlignment="1">
      <alignment wrapText="1"/>
    </xf>
    <xf numFmtId="0" fontId="26" fillId="0" borderId="1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49" fontId="26" fillId="0" borderId="13" xfId="0" applyNumberFormat="1" applyFont="1" applyBorder="1" applyAlignment="1">
      <alignment horizontal="center" vertical="center"/>
    </xf>
    <xf numFmtId="0" fontId="26" fillId="6" borderId="12" xfId="1" applyFont="1" applyFill="1" applyBorder="1" applyAlignment="1">
      <alignment horizontal="center" vertical="center" wrapText="1"/>
    </xf>
    <xf numFmtId="0" fontId="26" fillId="6" borderId="13" xfId="1" applyFont="1" applyFill="1" applyBorder="1" applyAlignment="1">
      <alignment horizontal="center" vertical="center" wrapText="1"/>
    </xf>
    <xf numFmtId="0" fontId="27" fillId="4" borderId="12" xfId="1" applyFont="1" applyFill="1" applyBorder="1" applyAlignment="1">
      <alignment horizontal="center"/>
    </xf>
    <xf numFmtId="0" fontId="36" fillId="0" borderId="0" xfId="0" applyFont="1"/>
    <xf numFmtId="0" fontId="37" fillId="0" borderId="0" xfId="0" applyFont="1"/>
    <xf numFmtId="2" fontId="29" fillId="0" borderId="1" xfId="0" applyNumberFormat="1" applyFont="1" applyBorder="1" applyAlignment="1">
      <alignment horizontal="center" wrapText="1"/>
    </xf>
    <xf numFmtId="0" fontId="38" fillId="0" borderId="0" xfId="9" applyFont="1" applyAlignment="1">
      <alignment wrapText="1"/>
    </xf>
    <xf numFmtId="0" fontId="38" fillId="0" borderId="0" xfId="9" applyFont="1"/>
    <xf numFmtId="2" fontId="27" fillId="0" borderId="1" xfId="5" applyNumberFormat="1" applyFont="1" applyBorder="1"/>
    <xf numFmtId="2" fontId="27" fillId="7" borderId="1" xfId="5" applyNumberFormat="1" applyFont="1" applyFill="1" applyBorder="1"/>
    <xf numFmtId="2" fontId="27" fillId="0" borderId="13" xfId="5" applyNumberFormat="1" applyFont="1" applyBorder="1"/>
    <xf numFmtId="2" fontId="27" fillId="0" borderId="1" xfId="0" applyNumberFormat="1" applyFont="1" applyBorder="1" applyAlignment="1">
      <alignment horizontal="right" wrapText="1"/>
    </xf>
    <xf numFmtId="2" fontId="28" fillId="0" borderId="1" xfId="5" applyNumberFormat="1" applyFont="1" applyBorder="1"/>
    <xf numFmtId="0" fontId="13" fillId="5" borderId="1" xfId="1" applyFont="1" applyFill="1" applyBorder="1"/>
    <xf numFmtId="0" fontId="27" fillId="0" borderId="1" xfId="0" applyFont="1" applyBorder="1" applyAlignment="1">
      <alignment horizontal="right"/>
    </xf>
    <xf numFmtId="0" fontId="27" fillId="0" borderId="13" xfId="0" applyFont="1" applyBorder="1"/>
    <xf numFmtId="2" fontId="27" fillId="0" borderId="3" xfId="5" applyNumberFormat="1" applyFont="1" applyBorder="1"/>
    <xf numFmtId="0" fontId="26" fillId="4" borderId="12" xfId="0" applyFont="1" applyFill="1" applyBorder="1"/>
    <xf numFmtId="0" fontId="26" fillId="4" borderId="14" xfId="0" applyFont="1" applyFill="1" applyBorder="1"/>
    <xf numFmtId="2" fontId="27" fillId="0" borderId="15" xfId="0" applyNumberFormat="1" applyFont="1" applyBorder="1"/>
    <xf numFmtId="0" fontId="21" fillId="7" borderId="1" xfId="0" applyFont="1" applyFill="1" applyBorder="1"/>
    <xf numFmtId="165" fontId="21" fillId="7" borderId="1" xfId="5" applyFont="1" applyFill="1" applyBorder="1"/>
    <xf numFmtId="0" fontId="27" fillId="7" borderId="1" xfId="0" applyFont="1" applyFill="1" applyBorder="1"/>
    <xf numFmtId="0" fontId="28" fillId="7" borderId="1" xfId="1" applyFont="1" applyFill="1" applyBorder="1" applyAlignment="1">
      <alignment horizontal="left" vertical="center" wrapText="1"/>
    </xf>
    <xf numFmtId="0" fontId="27" fillId="4" borderId="3" xfId="0" applyFont="1" applyFill="1" applyBorder="1"/>
    <xf numFmtId="0" fontId="27" fillId="4" borderId="18" xfId="0" applyFont="1" applyFill="1" applyBorder="1"/>
    <xf numFmtId="2" fontId="27" fillId="0" borderId="18" xfId="5" applyNumberFormat="1" applyFont="1" applyBorder="1"/>
    <xf numFmtId="0" fontId="27" fillId="0" borderId="18" xfId="0" applyFont="1" applyBorder="1"/>
    <xf numFmtId="2" fontId="27" fillId="0" borderId="18" xfId="0" applyNumberFormat="1" applyFont="1" applyBorder="1"/>
    <xf numFmtId="2" fontId="27" fillId="0" borderId="19" xfId="5" applyNumberFormat="1" applyFont="1" applyBorder="1"/>
    <xf numFmtId="0" fontId="26" fillId="4" borderId="20" xfId="0" applyFont="1" applyFill="1" applyBorder="1"/>
    <xf numFmtId="0" fontId="27" fillId="0" borderId="19" xfId="0" applyFont="1" applyBorder="1"/>
    <xf numFmtId="0" fontId="26" fillId="0" borderId="12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center" vertical="center" wrapText="1"/>
    </xf>
    <xf numFmtId="0" fontId="42" fillId="0" borderId="1" xfId="1" applyFont="1" applyBorder="1" applyAlignment="1">
      <alignment horizontal="left" vertical="center" wrapText="1"/>
    </xf>
    <xf numFmtId="0" fontId="43" fillId="4" borderId="1" xfId="1" applyFont="1" applyFill="1" applyBorder="1" applyAlignment="1">
      <alignment horizontal="left" vertical="center" wrapText="1"/>
    </xf>
    <xf numFmtId="0" fontId="44" fillId="0" borderId="0" xfId="0" applyFont="1"/>
    <xf numFmtId="0" fontId="20" fillId="0" borderId="0" xfId="0" applyFont="1"/>
    <xf numFmtId="0" fontId="12" fillId="0" borderId="0" xfId="0" applyFont="1" applyFill="1" applyBorder="1"/>
    <xf numFmtId="0" fontId="22" fillId="5" borderId="10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165" fontId="21" fillId="0" borderId="13" xfId="5" applyFont="1" applyBorder="1"/>
    <xf numFmtId="0" fontId="21" fillId="4" borderId="14" xfId="0" applyFont="1" applyFill="1" applyBorder="1" applyAlignment="1">
      <alignment horizontal="center" vertical="center"/>
    </xf>
    <xf numFmtId="0" fontId="21" fillId="4" borderId="17" xfId="0" applyFont="1" applyFill="1" applyBorder="1"/>
    <xf numFmtId="165" fontId="21" fillId="0" borderId="17" xfId="5" applyFont="1" applyBorder="1"/>
    <xf numFmtId="165" fontId="21" fillId="0" borderId="15" xfId="5" applyFont="1" applyBorder="1"/>
    <xf numFmtId="0" fontId="22" fillId="2" borderId="16" xfId="0" applyFont="1" applyFill="1" applyBorder="1" applyAlignment="1">
      <alignment horizontal="left"/>
    </xf>
    <xf numFmtId="0" fontId="22" fillId="5" borderId="16" xfId="0" applyFont="1" applyFill="1" applyBorder="1" applyAlignment="1">
      <alignment horizontal="left"/>
    </xf>
    <xf numFmtId="0" fontId="22" fillId="5" borderId="11" xfId="0" applyFont="1" applyFill="1" applyBorder="1" applyAlignment="1">
      <alignment horizontal="left"/>
    </xf>
    <xf numFmtId="0" fontId="22" fillId="4" borderId="12" xfId="0" applyFont="1" applyFill="1" applyBorder="1" applyAlignment="1">
      <alignment horizontal="center" vertical="center"/>
    </xf>
    <xf numFmtId="0" fontId="36" fillId="0" borderId="0" xfId="0" applyFont="1" applyAlignment="1">
      <alignment horizontal="right"/>
    </xf>
    <xf numFmtId="0" fontId="46" fillId="0" borderId="0" xfId="9" applyFont="1"/>
    <xf numFmtId="0" fontId="27" fillId="0" borderId="1" xfId="0" applyFont="1" applyFill="1" applyBorder="1"/>
    <xf numFmtId="0" fontId="27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7" fillId="0" borderId="13" xfId="0" applyFont="1" applyFill="1" applyBorder="1"/>
    <xf numFmtId="0" fontId="0" fillId="0" borderId="1" xfId="0" applyFill="1" applyBorder="1"/>
    <xf numFmtId="0" fontId="26" fillId="0" borderId="1" xfId="0" applyFont="1" applyFill="1" applyBorder="1"/>
    <xf numFmtId="0" fontId="27" fillId="0" borderId="17" xfId="0" applyFont="1" applyFill="1" applyBorder="1"/>
    <xf numFmtId="0" fontId="0" fillId="0" borderId="17" xfId="0" applyFill="1" applyBorder="1"/>
    <xf numFmtId="0" fontId="27" fillId="0" borderId="15" xfId="0" applyFont="1" applyFill="1" applyBorder="1"/>
    <xf numFmtId="0" fontId="27" fillId="2" borderId="10" xfId="0" applyFont="1" applyFill="1" applyBorder="1"/>
    <xf numFmtId="0" fontId="27" fillId="2" borderId="16" xfId="0" applyFont="1" applyFill="1" applyBorder="1"/>
    <xf numFmtId="0" fontId="22" fillId="2" borderId="12" xfId="0" applyFont="1" applyFill="1" applyBorder="1" applyAlignment="1">
      <alignment horizontal="center" vertical="center"/>
    </xf>
    <xf numFmtId="0" fontId="26" fillId="2" borderId="1" xfId="0" applyFont="1" applyFill="1" applyBorder="1"/>
    <xf numFmtId="0" fontId="26" fillId="2" borderId="13" xfId="0" applyFont="1" applyFill="1" applyBorder="1"/>
    <xf numFmtId="0" fontId="21" fillId="0" borderId="1" xfId="0" applyFont="1" applyFill="1" applyBorder="1"/>
    <xf numFmtId="0" fontId="39" fillId="0" borderId="1" xfId="0" applyFont="1" applyFill="1" applyBorder="1"/>
    <xf numFmtId="166" fontId="21" fillId="0" borderId="1" xfId="0" applyNumberFormat="1" applyFont="1" applyFill="1" applyBorder="1"/>
    <xf numFmtId="0" fontId="21" fillId="0" borderId="1" xfId="0" applyFont="1" applyFill="1" applyBorder="1" applyAlignment="1">
      <alignment horizontal="left" vertical="center"/>
    </xf>
    <xf numFmtId="0" fontId="1" fillId="0" borderId="17" xfId="0" applyFont="1" applyFill="1" applyBorder="1"/>
    <xf numFmtId="0" fontId="1" fillId="0" borderId="0" xfId="0" applyFont="1"/>
    <xf numFmtId="3" fontId="20" fillId="0" borderId="0" xfId="0" applyNumberFormat="1" applyFont="1"/>
    <xf numFmtId="0" fontId="14" fillId="0" borderId="1" xfId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wrapText="1"/>
    </xf>
    <xf numFmtId="0" fontId="28" fillId="0" borderId="1" xfId="1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8" borderId="18" xfId="0" applyFont="1" applyFill="1" applyBorder="1"/>
    <xf numFmtId="0" fontId="13" fillId="8" borderId="18" xfId="0" applyFont="1" applyFill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27" fillId="7" borderId="1" xfId="0" applyFont="1" applyFill="1" applyBorder="1" applyAlignment="1">
      <alignment wrapText="1"/>
    </xf>
    <xf numFmtId="0" fontId="13" fillId="12" borderId="20" xfId="0" applyFont="1" applyFill="1" applyBorder="1"/>
    <xf numFmtId="0" fontId="12" fillId="8" borderId="19" xfId="0" applyFont="1" applyFill="1" applyBorder="1"/>
    <xf numFmtId="1" fontId="1" fillId="0" borderId="12" xfId="0" applyNumberFormat="1" applyFont="1" applyBorder="1" applyAlignment="1">
      <alignment horizontal="right" wrapText="1"/>
    </xf>
    <xf numFmtId="1" fontId="1" fillId="0" borderId="13" xfId="0" applyNumberFormat="1" applyFont="1" applyBorder="1" applyAlignment="1">
      <alignment horizontal="right"/>
    </xf>
    <xf numFmtId="1" fontId="1" fillId="0" borderId="14" xfId="0" applyNumberFormat="1" applyFont="1" applyBorder="1" applyAlignment="1">
      <alignment horizontal="right" wrapText="1"/>
    </xf>
    <xf numFmtId="1" fontId="1" fillId="0" borderId="17" xfId="0" applyNumberFormat="1" applyFont="1" applyBorder="1" applyAlignment="1">
      <alignment horizontal="right"/>
    </xf>
    <xf numFmtId="1" fontId="1" fillId="0" borderId="15" xfId="0" applyNumberFormat="1" applyFont="1" applyBorder="1" applyAlignment="1">
      <alignment horizontal="right"/>
    </xf>
    <xf numFmtId="1" fontId="1" fillId="0" borderId="12" xfId="0" applyNumberFormat="1" applyFont="1" applyBorder="1" applyAlignment="1">
      <alignment horizontal="right"/>
    </xf>
    <xf numFmtId="1" fontId="1" fillId="0" borderId="14" xfId="0" applyNumberFormat="1" applyFont="1" applyBorder="1" applyAlignment="1">
      <alignment horizontal="right"/>
    </xf>
    <xf numFmtId="0" fontId="12" fillId="8" borderId="20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12" fillId="8" borderId="12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wrapText="1"/>
    </xf>
    <xf numFmtId="0" fontId="1" fillId="0" borderId="13" xfId="0" applyFont="1" applyBorder="1" applyAlignment="1">
      <alignment wrapText="1"/>
    </xf>
    <xf numFmtId="0" fontId="1" fillId="0" borderId="13" xfId="0" applyFont="1" applyBorder="1" applyAlignment="1">
      <alignment horizontal="left" wrapText="1"/>
    </xf>
    <xf numFmtId="0" fontId="1" fillId="4" borderId="24" xfId="0" applyFont="1" applyFill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wrapText="1"/>
    </xf>
    <xf numFmtId="0" fontId="13" fillId="2" borderId="1" xfId="1" applyFont="1" applyFill="1" applyBorder="1" applyAlignment="1">
      <alignment vertical="center"/>
    </xf>
    <xf numFmtId="0" fontId="13" fillId="12" borderId="1" xfId="0" applyFont="1" applyFill="1" applyBorder="1"/>
    <xf numFmtId="0" fontId="12" fillId="8" borderId="1" xfId="0" applyFont="1" applyFill="1" applyBorder="1"/>
    <xf numFmtId="1" fontId="17" fillId="0" borderId="1" xfId="0" applyNumberFormat="1" applyFont="1" applyBorder="1" applyAlignment="1">
      <alignment horizontal="right" wrapText="1"/>
    </xf>
    <xf numFmtId="0" fontId="47" fillId="0" borderId="1" xfId="0" applyFont="1" applyBorder="1"/>
    <xf numFmtId="6" fontId="27" fillId="0" borderId="1" xfId="0" applyNumberFormat="1" applyFont="1" applyBorder="1"/>
    <xf numFmtId="9" fontId="27" fillId="0" borderId="1" xfId="0" applyNumberFormat="1" applyFont="1" applyBorder="1"/>
    <xf numFmtId="8" fontId="27" fillId="0" borderId="1" xfId="0" applyNumberFormat="1" applyFont="1" applyBorder="1"/>
    <xf numFmtId="168" fontId="27" fillId="0" borderId="1" xfId="11" applyNumberFormat="1" applyFont="1" applyBorder="1"/>
    <xf numFmtId="168" fontId="27" fillId="0" borderId="1" xfId="11" applyNumberFormat="1" applyFont="1" applyBorder="1" applyAlignment="1">
      <alignment horizontal="right"/>
    </xf>
    <xf numFmtId="168" fontId="27" fillId="0" borderId="1" xfId="0" applyNumberFormat="1" applyFont="1" applyBorder="1"/>
    <xf numFmtId="168" fontId="27" fillId="0" borderId="1" xfId="0" applyNumberFormat="1" applyFont="1" applyBorder="1" applyAlignment="1">
      <alignment horizontal="right"/>
    </xf>
    <xf numFmtId="0" fontId="27" fillId="0" borderId="1" xfId="10" applyNumberFormat="1" applyFont="1" applyBorder="1"/>
    <xf numFmtId="0" fontId="1" fillId="0" borderId="1" xfId="0" applyFont="1" applyFill="1" applyBorder="1" applyAlignment="1">
      <alignment horizontal="right"/>
    </xf>
    <xf numFmtId="0" fontId="14" fillId="0" borderId="1" xfId="1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169" fontId="1" fillId="0" borderId="1" xfId="0" applyNumberFormat="1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" fontId="29" fillId="0" borderId="0" xfId="0" applyNumberFormat="1" applyFont="1" applyAlignment="1">
      <alignment wrapText="1"/>
    </xf>
    <xf numFmtId="43" fontId="29" fillId="0" borderId="0" xfId="0" applyNumberFormat="1" applyFont="1" applyAlignment="1">
      <alignment wrapText="1"/>
    </xf>
    <xf numFmtId="1" fontId="1" fillId="0" borderId="1" xfId="0" applyNumberFormat="1" applyFont="1" applyBorder="1"/>
    <xf numFmtId="1" fontId="1" fillId="0" borderId="1" xfId="0" applyNumberFormat="1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50" fillId="0" borderId="0" xfId="0" applyFont="1"/>
    <xf numFmtId="9" fontId="20" fillId="0" borderId="0" xfId="0" applyNumberFormat="1" applyFont="1"/>
    <xf numFmtId="0" fontId="0" fillId="0" borderId="0" xfId="0" applyNumberFormat="1"/>
    <xf numFmtId="1" fontId="20" fillId="0" borderId="1" xfId="0" applyNumberFormat="1" applyFont="1" applyBorder="1"/>
    <xf numFmtId="0" fontId="12" fillId="5" borderId="10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1" fontId="1" fillId="0" borderId="13" xfId="0" applyNumberFormat="1" applyFont="1" applyBorder="1"/>
    <xf numFmtId="0" fontId="1" fillId="4" borderId="14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right" wrapText="1"/>
    </xf>
    <xf numFmtId="1" fontId="20" fillId="0" borderId="17" xfId="0" applyNumberFormat="1" applyFont="1" applyBorder="1"/>
    <xf numFmtId="1" fontId="1" fillId="0" borderId="17" xfId="0" applyNumberFormat="1" applyFont="1" applyBorder="1" applyAlignment="1">
      <alignment wrapText="1"/>
    </xf>
    <xf numFmtId="0" fontId="1" fillId="0" borderId="17" xfId="0" applyFont="1" applyBorder="1"/>
    <xf numFmtId="1" fontId="1" fillId="0" borderId="17" xfId="0" applyNumberFormat="1" applyFont="1" applyBorder="1"/>
    <xf numFmtId="1" fontId="1" fillId="0" borderId="15" xfId="0" applyNumberFormat="1" applyFont="1" applyBorder="1"/>
    <xf numFmtId="0" fontId="13" fillId="5" borderId="2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26" xfId="0" applyFont="1" applyBorder="1" applyAlignment="1">
      <alignment wrapText="1"/>
    </xf>
    <xf numFmtId="0" fontId="13" fillId="5" borderId="27" xfId="0" applyFont="1" applyFill="1" applyBorder="1" applyAlignment="1">
      <alignment horizontal="center" vertical="center" wrapText="1"/>
    </xf>
    <xf numFmtId="9" fontId="20" fillId="0" borderId="4" xfId="0" applyNumberFormat="1" applyFont="1" applyBorder="1"/>
    <xf numFmtId="0" fontId="13" fillId="5" borderId="10" xfId="0" applyFont="1" applyFill="1" applyBorder="1" applyAlignment="1">
      <alignment horizontal="center" vertical="center" wrapText="1"/>
    </xf>
    <xf numFmtId="9" fontId="20" fillId="0" borderId="12" xfId="0" applyNumberFormat="1" applyFont="1" applyBorder="1"/>
    <xf numFmtId="0" fontId="52" fillId="1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3" fillId="14" borderId="0" xfId="0" applyFont="1" applyFill="1" applyAlignment="1">
      <alignment horizontal="left" wrapText="1"/>
    </xf>
    <xf numFmtId="2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1" fillId="0" borderId="1" xfId="1" applyFont="1" applyBorder="1" applyAlignment="1">
      <alignment horizontal="left" vertical="center"/>
    </xf>
    <xf numFmtId="0" fontId="20" fillId="0" borderId="0" xfId="0" applyFont="1" applyAlignment="1">
      <alignment wrapText="1"/>
    </xf>
    <xf numFmtId="0" fontId="1" fillId="0" borderId="3" xfId="0" applyFont="1" applyBorder="1"/>
    <xf numFmtId="0" fontId="1" fillId="0" borderId="26" xfId="0" applyFont="1" applyBorder="1"/>
    <xf numFmtId="10" fontId="27" fillId="0" borderId="13" xfId="10" applyNumberFormat="1" applyFont="1" applyFill="1" applyBorder="1"/>
    <xf numFmtId="10" fontId="27" fillId="0" borderId="15" xfId="10" applyNumberFormat="1" applyFont="1" applyFill="1" applyBorder="1"/>
    <xf numFmtId="2" fontId="27" fillId="0" borderId="1" xfId="5" applyNumberFormat="1" applyFont="1" applyFill="1" applyBorder="1"/>
    <xf numFmtId="0" fontId="22" fillId="5" borderId="25" xfId="0" applyFont="1" applyFill="1" applyBorder="1" applyAlignment="1">
      <alignment horizontal="left"/>
    </xf>
    <xf numFmtId="0" fontId="41" fillId="0" borderId="1" xfId="0" applyFont="1" applyFill="1" applyBorder="1"/>
    <xf numFmtId="0" fontId="27" fillId="7" borderId="13" xfId="0" applyFont="1" applyFill="1" applyBorder="1"/>
    <xf numFmtId="1" fontId="27" fillId="0" borderId="1" xfId="0" applyNumberFormat="1" applyFont="1" applyFill="1" applyBorder="1"/>
    <xf numFmtId="1" fontId="27" fillId="0" borderId="13" xfId="0" applyNumberFormat="1" applyFont="1" applyFill="1" applyBorder="1"/>
    <xf numFmtId="165" fontId="21" fillId="0" borderId="1" xfId="5" applyNumberFormat="1" applyFont="1" applyBorder="1"/>
    <xf numFmtId="166" fontId="27" fillId="0" borderId="13" xfId="0" applyNumberFormat="1" applyFont="1" applyFill="1" applyBorder="1"/>
    <xf numFmtId="0" fontId="21" fillId="4" borderId="2" xfId="0" applyFont="1" applyFill="1" applyBorder="1"/>
    <xf numFmtId="0" fontId="22" fillId="5" borderId="21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12" xfId="0" applyFont="1" applyFill="1" applyBorder="1"/>
    <xf numFmtId="0" fontId="21" fillId="4" borderId="29" xfId="0" applyFont="1" applyFill="1" applyBorder="1"/>
    <xf numFmtId="0" fontId="14" fillId="4" borderId="12" xfId="1" applyFont="1" applyFill="1" applyBorder="1" applyAlignment="1">
      <alignment horizontal="left" vertical="center" wrapText="1"/>
    </xf>
    <xf numFmtId="0" fontId="21" fillId="4" borderId="14" xfId="0" applyFont="1" applyFill="1" applyBorder="1"/>
    <xf numFmtId="165" fontId="21" fillId="0" borderId="17" xfId="5" applyNumberFormat="1" applyFont="1" applyBorder="1"/>
    <xf numFmtId="1" fontId="20" fillId="0" borderId="13" xfId="0" applyNumberFormat="1" applyFont="1" applyBorder="1"/>
    <xf numFmtId="1" fontId="20" fillId="0" borderId="15" xfId="0" applyNumberFormat="1" applyFont="1" applyBorder="1"/>
    <xf numFmtId="1" fontId="1" fillId="0" borderId="17" xfId="0" applyNumberFormat="1" applyFont="1" applyBorder="1" applyAlignment="1">
      <alignment horizontal="right" wrapText="1"/>
    </xf>
    <xf numFmtId="1" fontId="0" fillId="0" borderId="17" xfId="0" applyNumberFormat="1" applyBorder="1"/>
    <xf numFmtId="1" fontId="21" fillId="0" borderId="1" xfId="0" applyNumberFormat="1" applyFont="1" applyFill="1" applyBorder="1"/>
    <xf numFmtId="0" fontId="27" fillId="7" borderId="1" xfId="1" applyFont="1" applyFill="1" applyBorder="1" applyAlignment="1">
      <alignment horizontal="left" vertical="center" wrapText="1"/>
    </xf>
    <xf numFmtId="0" fontId="21" fillId="0" borderId="18" xfId="0" applyFont="1" applyFill="1" applyBorder="1" applyAlignment="1">
      <alignment horizontal="left" vertical="center"/>
    </xf>
    <xf numFmtId="0" fontId="21" fillId="0" borderId="18" xfId="0" applyFont="1" applyFill="1" applyBorder="1"/>
    <xf numFmtId="165" fontId="21" fillId="0" borderId="18" xfId="5" applyFont="1" applyFill="1" applyBorder="1"/>
    <xf numFmtId="0" fontId="27" fillId="0" borderId="18" xfId="0" applyFont="1" applyFill="1" applyBorder="1"/>
    <xf numFmtId="0" fontId="27" fillId="0" borderId="19" xfId="0" applyFont="1" applyFill="1" applyBorder="1"/>
    <xf numFmtId="0" fontId="1" fillId="0" borderId="1" xfId="1" applyFont="1" applyBorder="1"/>
    <xf numFmtId="0" fontId="11" fillId="0" borderId="0" xfId="1" applyFont="1" applyBorder="1" applyAlignment="1">
      <alignment horizontal="center"/>
    </xf>
    <xf numFmtId="0" fontId="14" fillId="0" borderId="0" xfId="1" applyFont="1" applyBorder="1"/>
    <xf numFmtId="1" fontId="11" fillId="0" borderId="0" xfId="1" applyNumberFormat="1" applyFont="1" applyBorder="1" applyAlignment="1">
      <alignment horizontal="center"/>
    </xf>
    <xf numFmtId="2" fontId="12" fillId="0" borderId="0" xfId="1" applyNumberFormat="1" applyFont="1" applyBorder="1" applyAlignment="1">
      <alignment horizontal="center"/>
    </xf>
    <xf numFmtId="0" fontId="14" fillId="0" borderId="0" xfId="1" applyFont="1" applyFill="1" applyBorder="1" applyAlignment="1">
      <alignment horizontal="left" vertical="center" wrapText="1"/>
    </xf>
    <xf numFmtId="0" fontId="12" fillId="0" borderId="0" xfId="1" applyFont="1" applyBorder="1"/>
    <xf numFmtId="0" fontId="12" fillId="0" borderId="0" xfId="1" applyFont="1" applyBorder="1" applyAlignment="1">
      <alignment horizontal="center"/>
    </xf>
    <xf numFmtId="0" fontId="18" fillId="0" borderId="0" xfId="1" applyFont="1" applyBorder="1"/>
    <xf numFmtId="2" fontId="18" fillId="0" borderId="0" xfId="1" applyNumberFormat="1" applyFont="1" applyBorder="1" applyAlignment="1">
      <alignment horizontal="center"/>
    </xf>
    <xf numFmtId="1" fontId="0" fillId="0" borderId="1" xfId="0" applyNumberFormat="1" applyBorder="1"/>
    <xf numFmtId="0" fontId="0" fillId="0" borderId="17" xfId="0" applyBorder="1"/>
    <xf numFmtId="1" fontId="0" fillId="0" borderId="13" xfId="0" applyNumberFormat="1" applyBorder="1"/>
    <xf numFmtId="0" fontId="13" fillId="0" borderId="1" xfId="0" applyFont="1" applyFill="1" applyBorder="1" applyAlignment="1"/>
    <xf numFmtId="1" fontId="1" fillId="0" borderId="1" xfId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2" fillId="10" borderId="7" xfId="0" applyFont="1" applyFill="1" applyBorder="1" applyAlignment="1">
      <alignment horizontal="center" wrapText="1"/>
    </xf>
    <xf numFmtId="0" fontId="22" fillId="10" borderId="8" xfId="0" applyFont="1" applyFill="1" applyBorder="1" applyAlignment="1">
      <alignment horizontal="center" wrapText="1"/>
    </xf>
    <xf numFmtId="0" fontId="22" fillId="10" borderId="9" xfId="0" applyFont="1" applyFill="1" applyBorder="1" applyAlignment="1">
      <alignment horizontal="center" wrapText="1"/>
    </xf>
    <xf numFmtId="0" fontId="22" fillId="2" borderId="16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45" fillId="5" borderId="18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45" fillId="5" borderId="1" xfId="0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13" fillId="2" borderId="3" xfId="1" applyFont="1" applyFill="1" applyBorder="1" applyAlignment="1">
      <alignment horizontal="center"/>
    </xf>
    <xf numFmtId="0" fontId="13" fillId="2" borderId="6" xfId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2" borderId="3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49" fillId="8" borderId="1" xfId="0" applyFont="1" applyFill="1" applyBorder="1" applyAlignment="1">
      <alignment horizontal="center"/>
    </xf>
    <xf numFmtId="0" fontId="45" fillId="8" borderId="1" xfId="0" applyFont="1" applyFill="1" applyBorder="1" applyAlignment="1">
      <alignment horizontal="center"/>
    </xf>
    <xf numFmtId="0" fontId="45" fillId="8" borderId="18" xfId="0" applyFont="1" applyFill="1" applyBorder="1" applyAlignment="1">
      <alignment horizontal="center"/>
    </xf>
    <xf numFmtId="0" fontId="45" fillId="8" borderId="10" xfId="0" applyFont="1" applyFill="1" applyBorder="1" applyAlignment="1">
      <alignment horizontal="center"/>
    </xf>
    <xf numFmtId="0" fontId="45" fillId="8" borderId="11" xfId="0" applyFont="1" applyFill="1" applyBorder="1" applyAlignment="1">
      <alignment horizontal="center"/>
    </xf>
    <xf numFmtId="0" fontId="52" fillId="1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1" fillId="13" borderId="0" xfId="0" applyFont="1" applyFill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/>
    </xf>
    <xf numFmtId="0" fontId="12" fillId="8" borderId="23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</cellXfs>
  <cellStyles count="12">
    <cellStyle name="Comma" xfId="5" builtinId="3"/>
    <cellStyle name="Currency" xfId="11" builtinId="4"/>
    <cellStyle name="Currency 2" xfId="8" xr:uid="{556089FC-EFFD-4080-AAFA-6C01A155136A}"/>
    <cellStyle name="Hyperlink" xfId="9" builtinId="8"/>
    <cellStyle name="Normal" xfId="0" builtinId="0"/>
    <cellStyle name="Normal 2" xfId="2" xr:uid="{DEB44531-C6E0-4D2D-A8D6-14BAD7A44ABB}"/>
    <cellStyle name="Normal 2 2" xfId="3" xr:uid="{2F17104E-2CB7-4B79-93E5-DC3FE831E00E}"/>
    <cellStyle name="Normal 2 3" xfId="7" xr:uid="{955EAC20-437B-4B79-B333-F32155462B62}"/>
    <cellStyle name="Normal 3" xfId="1" xr:uid="{78D1E1F3-0D0F-214C-B635-E59F9BBADFC9}"/>
    <cellStyle name="Normal 4" xfId="4" xr:uid="{67DB3E1D-4498-435C-A2B7-7FF5034AE6B6}"/>
    <cellStyle name="Per cent" xfId="10" builtinId="5"/>
    <cellStyle name="Percent 2" xfId="6" xr:uid="{0FDD51A2-85A0-403B-88E6-80678EC4311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3" formatCode="0%"/>
    </dxf>
    <dxf>
      <numFmt numFmtId="2" formatCode="0.00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customschemas.google.com/relationships/workbookmetadata" Target="metadata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7A4F7F-06B1-DE4F-8016-6D191E5A5FD0}" name="WholesaleLogicTable" displayName="WholesaleLogicTable" ref="A1:K44">
  <tableColumns count="11">
    <tableColumn id="1" xr3:uid="{19E31C95-4BE0-8A42-AC6A-920E68D42761}" name="Product"/>
    <tableColumn id="2" xr3:uid="{68F77271-FFD8-1A46-961E-2280D1C403D2}" name="Category"/>
    <tableColumn id="3" xr3:uid="{60890FAD-FB7F-9B4A-BFA3-75C26C3E00F7}" name="Differentiation / Origin Value"/>
    <tableColumn id="4" xr3:uid="{7F558CD1-1107-7E47-9AAF-65288A411757}" name="Comparability"/>
    <tableColumn id="5" xr3:uid="{A0336496-249D-C643-A9D0-4740B83017DD}" name="Value Addition / Processing"/>
    <tableColumn id="6" xr3:uid="{3D3FF364-CF9A-D14C-BB95-1D2D77F5B617}" name="Price Elasticity"/>
    <tableColumn id="7" xr3:uid="{91EB2C2A-EFA9-424D-80DC-804F797BA294}" name="Brand / Premium Pull">
      <calculatedColumnFormula>WholesaleLogicTable[[#This Row],[Differentiation / Origin Value]]</calculatedColumnFormula>
    </tableColumn>
    <tableColumn id="8" xr3:uid="{EE86A9D1-7016-7A49-92E1-5D2F1357F6B9}" name="Weighted Score" dataDxfId="8">
      <calculatedColumnFormula>(C2*'Logic &amp; Weights'!$B$4 + (6-D2)*'Logic &amp; Weights'!$B$5 + E2*'Logic &amp; Weights'!$B$6 + (6-F2)*'Logic &amp; Weights'!$B$7 + G2*'Logic &amp; Weights'!$B$8)/5</calculatedColumnFormula>
    </tableColumn>
    <tableColumn id="9" xr3:uid="{EE87A698-8B75-654D-BBAF-BDBBE25032C4}" name="Recommended Wholesale % of Retail" dataDxfId="7">
      <calculatedColumnFormula>ROUND(('Logic &amp; Weights'!$B$9 + H2*('Logic &amp; Weights'!$B$10-'Logic &amp; Weights'!$B$9))*100,0)/100</calculatedColumnFormula>
    </tableColumn>
    <tableColumn id="10" xr3:uid="{E49DCE4C-4F2F-D34D-8BFF-C3C2ACCB2E7A}" name="Pricing Band">
      <calculatedColumnFormula>IF(I2&lt;=0.75,"Commodity 70-75%",IF(I2&lt;=0.82,"Mid Premium 75-82%",IF(I2&lt;=0.88,"Premium 82-88%","Ultra Premium 88-92%")))</calculatedColumnFormula>
    </tableColumn>
    <tableColumn id="11" xr3:uid="{865D17B1-1610-3543-9F97-50DD36F7D61B}" name="Formula Logic" dataDxfId="6">
      <calculatedColumnFormula>"Base 70% + Weighted Score × 20%. Higher premium score = wholesale closer to retail. Comparability and elasticity are reverse-scored."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183D0-A9B3-4244-B320-08875E057FA2}" name="WeightsTable" displayName="WeightsTable" ref="A3:B9">
  <tableColumns count="2">
    <tableColumn id="1" xr3:uid="{D21C3349-9523-F741-946C-0552754A065C}" name="Factor"/>
    <tableColumn id="2" xr3:uid="{C767CB80-F695-604C-8B7D-9F1591A69C71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CA80-EA6F-41A8-8925-C5096C2E5992}">
  <dimension ref="A1:W54"/>
  <sheetViews>
    <sheetView zoomScale="108" zoomScaleNormal="100" workbookViewId="0">
      <selection activeCell="E19" sqref="E19"/>
    </sheetView>
  </sheetViews>
  <sheetFormatPr baseColWidth="10" defaultColWidth="10.6640625" defaultRowHeight="15"/>
  <cols>
    <col min="1" max="1" width="10.6640625" style="65" bestFit="1" customWidth="1"/>
    <col min="2" max="2" width="33.6640625" style="65" bestFit="1" customWidth="1"/>
    <col min="3" max="3" width="27.6640625" style="64" bestFit="1" customWidth="1"/>
    <col min="4" max="4" width="16.6640625" style="64" customWidth="1"/>
    <col min="5" max="5" width="37.6640625" style="64" bestFit="1" customWidth="1"/>
    <col min="6" max="6" width="36.6640625" style="64" bestFit="1" customWidth="1"/>
    <col min="7" max="7" width="24.6640625" style="64" bestFit="1" customWidth="1"/>
    <col min="8" max="8" width="24.6640625" style="64" customWidth="1"/>
    <col min="9" max="9" width="49" style="64" bestFit="1" customWidth="1"/>
    <col min="10" max="10" width="37.6640625" style="64" bestFit="1" customWidth="1"/>
    <col min="11" max="11" width="31.5" style="64" bestFit="1" customWidth="1"/>
    <col min="12" max="12" width="31.5" style="64" customWidth="1"/>
    <col min="13" max="13" width="15.6640625" style="64" bestFit="1" customWidth="1"/>
    <col min="14" max="14" width="29.6640625" style="64" bestFit="1" customWidth="1"/>
    <col min="15" max="15" width="25.1640625" style="64" bestFit="1" customWidth="1"/>
    <col min="16" max="16" width="24.5" style="64" bestFit="1" customWidth="1"/>
    <col min="17" max="17" width="19.6640625" style="64" bestFit="1" customWidth="1"/>
    <col min="18" max="18" width="15.6640625" style="64" bestFit="1" customWidth="1"/>
    <col min="19" max="19" width="38.6640625" style="64" bestFit="1" customWidth="1"/>
    <col min="20" max="20" width="27.6640625" style="64" bestFit="1" customWidth="1"/>
    <col min="21" max="21" width="21.5" style="64" bestFit="1" customWidth="1"/>
    <col min="22" max="22" width="17.6640625" style="64" bestFit="1" customWidth="1"/>
    <col min="23" max="16384" width="10.6640625" style="64"/>
  </cols>
  <sheetData>
    <row r="1" spans="1:23">
      <c r="A1" s="72">
        <v>1</v>
      </c>
      <c r="B1" s="72">
        <f>+A1+1</f>
        <v>2</v>
      </c>
      <c r="C1" s="72">
        <f t="shared" ref="C1" si="0">+B1+1</f>
        <v>3</v>
      </c>
      <c r="D1" s="72">
        <f t="shared" ref="D1" si="1">+C1+1</f>
        <v>4</v>
      </c>
      <c r="E1" s="72">
        <f t="shared" ref="E1" si="2">+D1+1</f>
        <v>5</v>
      </c>
      <c r="F1" s="72">
        <f t="shared" ref="F1" si="3">+E1+1</f>
        <v>6</v>
      </c>
      <c r="G1" s="72">
        <f t="shared" ref="G1" si="4">+F1+1</f>
        <v>7</v>
      </c>
      <c r="H1" s="72">
        <f t="shared" ref="H1" si="5">+G1+1</f>
        <v>8</v>
      </c>
      <c r="I1" s="72">
        <f t="shared" ref="I1" si="6">+H1+1</f>
        <v>9</v>
      </c>
      <c r="J1" s="72">
        <f t="shared" ref="J1" si="7">+I1+1</f>
        <v>10</v>
      </c>
      <c r="K1" s="72">
        <f t="shared" ref="K1" si="8">+J1+1</f>
        <v>11</v>
      </c>
      <c r="L1" s="72">
        <f t="shared" ref="L1" si="9">+K1+1</f>
        <v>12</v>
      </c>
      <c r="M1" s="72">
        <f t="shared" ref="M1" si="10">+L1+1</f>
        <v>13</v>
      </c>
      <c r="N1" s="72">
        <f t="shared" ref="N1" si="11">+M1+1</f>
        <v>14</v>
      </c>
      <c r="O1" s="72">
        <f t="shared" ref="O1" si="12">+N1+1</f>
        <v>15</v>
      </c>
      <c r="P1" s="72">
        <f t="shared" ref="P1" si="13">+O1+1</f>
        <v>16</v>
      </c>
      <c r="Q1" s="72">
        <f t="shared" ref="Q1" si="14">+P1+1</f>
        <v>17</v>
      </c>
      <c r="R1" s="72">
        <f t="shared" ref="R1" si="15">+Q1+1</f>
        <v>18</v>
      </c>
      <c r="S1" s="72">
        <f t="shared" ref="S1" si="16">+R1+1</f>
        <v>19</v>
      </c>
      <c r="T1" s="72">
        <f t="shared" ref="T1" si="17">+S1+1</f>
        <v>20</v>
      </c>
      <c r="U1" s="72">
        <f t="shared" ref="U1" si="18">+T1+1</f>
        <v>21</v>
      </c>
      <c r="V1" s="72">
        <f t="shared" ref="V1" si="19">+U1+1</f>
        <v>22</v>
      </c>
    </row>
    <row r="2" spans="1:23" ht="32">
      <c r="A2" s="96" t="s">
        <v>147</v>
      </c>
      <c r="B2" s="97" t="s">
        <v>148</v>
      </c>
      <c r="C2" s="97" t="s">
        <v>149</v>
      </c>
      <c r="D2" s="96" t="s">
        <v>150</v>
      </c>
      <c r="E2" s="96" t="s">
        <v>258</v>
      </c>
      <c r="F2" s="96" t="s">
        <v>257</v>
      </c>
      <c r="G2" s="96" t="s">
        <v>280</v>
      </c>
      <c r="H2" s="98" t="s">
        <v>287</v>
      </c>
      <c r="I2" s="96" t="s">
        <v>227</v>
      </c>
      <c r="J2" s="96" t="s">
        <v>229</v>
      </c>
      <c r="K2" s="96" t="s">
        <v>230</v>
      </c>
      <c r="L2" s="99" t="s">
        <v>282</v>
      </c>
      <c r="M2" s="99" t="s">
        <v>219</v>
      </c>
      <c r="N2" s="96" t="s">
        <v>231</v>
      </c>
      <c r="O2" s="96" t="s">
        <v>151</v>
      </c>
      <c r="P2" s="96" t="s">
        <v>152</v>
      </c>
      <c r="Q2" s="96" t="s">
        <v>232</v>
      </c>
      <c r="R2" s="96" t="s">
        <v>24</v>
      </c>
      <c r="S2" s="96" t="s">
        <v>233</v>
      </c>
      <c r="T2" s="96" t="s">
        <v>234</v>
      </c>
      <c r="U2" s="99" t="s">
        <v>25</v>
      </c>
      <c r="V2" s="96" t="s">
        <v>259</v>
      </c>
    </row>
    <row r="3" spans="1:23">
      <c r="A3" s="66">
        <v>1</v>
      </c>
      <c r="B3" s="100" t="s">
        <v>15</v>
      </c>
      <c r="C3" s="100" t="s">
        <v>153</v>
      </c>
      <c r="D3" s="101" t="str">
        <f>+VLOOKUP($B3,'Master Data'!$B$20:$W$197,2,FALSE)</f>
        <v>Ali Kikabai</v>
      </c>
      <c r="E3" s="94">
        <f>+VLOOKUP($B3,'Master Data'!$B:$V,21,FALSE)</f>
        <v>1.9585999999999999</v>
      </c>
      <c r="F3" s="94">
        <f>+E3*1000</f>
        <v>1958.6</v>
      </c>
      <c r="G3" s="95">
        <v>0.5</v>
      </c>
      <c r="H3" s="95">
        <f>+IF($G3=0.5,1,IF($G3=1,2,$G3))</f>
        <v>1</v>
      </c>
      <c r="I3" s="110" t="s">
        <v>235</v>
      </c>
      <c r="J3" s="110" t="s">
        <v>267</v>
      </c>
      <c r="K3" s="110" t="s">
        <v>236</v>
      </c>
      <c r="L3" s="110">
        <v>15</v>
      </c>
      <c r="M3" s="95">
        <f t="shared" ref="M3:M34" si="20">1000/G3</f>
        <v>2000</v>
      </c>
      <c r="N3" s="94">
        <f>+VLOOKUP($I3,'Master Data'!$B:$V,21,FALSE)</f>
        <v>2.23</v>
      </c>
      <c r="O3" s="95">
        <f>+N3*H3</f>
        <v>2.23</v>
      </c>
      <c r="P3" s="95">
        <f>+'Master Data'!$W$127*$H3</f>
        <v>2.2000000000000002</v>
      </c>
      <c r="Q3" s="95">
        <f>+'Master Data'!$W$111*$H3</f>
        <v>3.0769230769230771</v>
      </c>
      <c r="R3" s="95">
        <v>0</v>
      </c>
      <c r="S3" s="94">
        <f>+VLOOKUP($J3,'Master Data'!$B:$V,21,FALSE)*$H3</f>
        <v>55.02</v>
      </c>
      <c r="T3" s="94">
        <f>+VLOOKUP($K3,'Master Data'!$B:$V,21,FALSE)</f>
        <v>30</v>
      </c>
      <c r="U3" s="95">
        <f>+($F3+$O3+$P3+$S3)*($L3/100)</f>
        <v>302.70749999999998</v>
      </c>
      <c r="V3" s="95">
        <f t="shared" ref="V3:V34" si="21">+$F3+$O3+$P3+$Q3+$R3+$S3+$T3+$U3</f>
        <v>2353.834423076923</v>
      </c>
    </row>
    <row r="4" spans="1:23">
      <c r="A4" s="66">
        <f>+A3+1</f>
        <v>2</v>
      </c>
      <c r="B4" s="102" t="s">
        <v>35</v>
      </c>
      <c r="C4" s="103" t="s">
        <v>154</v>
      </c>
      <c r="D4" s="101" t="s">
        <v>78</v>
      </c>
      <c r="E4" s="94">
        <f>+VLOOKUP($B4,'Master Data'!$B:$V,21,FALSE)</f>
        <v>3.141</v>
      </c>
      <c r="F4" s="94">
        <f t="shared" ref="F4:F54" si="22">+E4*1000</f>
        <v>3141</v>
      </c>
      <c r="G4" s="95">
        <v>1</v>
      </c>
      <c r="H4" s="95">
        <f>+IF($G4=0.5,1,IF($G4=1,2,$G4))</f>
        <v>2</v>
      </c>
      <c r="I4" s="110" t="s">
        <v>441</v>
      </c>
      <c r="J4" s="110" t="s">
        <v>295</v>
      </c>
      <c r="K4" s="110" t="s">
        <v>281</v>
      </c>
      <c r="L4" s="110">
        <v>25</v>
      </c>
      <c r="M4" s="95">
        <f t="shared" si="20"/>
        <v>1000</v>
      </c>
      <c r="N4" s="94">
        <f>+VLOOKUP($I4,'Master Data'!$B:$V,21,FALSE)*H4</f>
        <v>23.88</v>
      </c>
      <c r="O4" s="95">
        <f t="shared" ref="O4:O35" si="23">+N4*G4</f>
        <v>23.88</v>
      </c>
      <c r="P4" s="95">
        <f>+'Master Data'!$W$127*$H4</f>
        <v>4.4000000000000004</v>
      </c>
      <c r="Q4" s="95">
        <f>+'Master Data'!$W$111*$H4</f>
        <v>6.1538461538461542</v>
      </c>
      <c r="R4" s="95">
        <v>0</v>
      </c>
      <c r="S4" s="94">
        <f>+VLOOKUP($J4,'Master Data'!$B:$V,21,FALSE)*$H4</f>
        <v>0</v>
      </c>
      <c r="T4" s="94" t="e">
        <f>+VLOOKUP($K4,'Master Data'!$B:$V,21,FALSE)</f>
        <v>#N/A</v>
      </c>
      <c r="U4" s="95">
        <f>+($F4+$O4+$P4+$S4)*0.25</f>
        <v>792.32</v>
      </c>
      <c r="V4" s="95" t="e">
        <f t="shared" si="21"/>
        <v>#N/A</v>
      </c>
      <c r="W4" s="118"/>
    </row>
    <row r="5" spans="1:23">
      <c r="A5" s="66">
        <f t="shared" ref="A5:A49" si="24">+A4+1</f>
        <v>3</v>
      </c>
      <c r="B5" s="102" t="s">
        <v>155</v>
      </c>
      <c r="C5" s="104" t="s">
        <v>156</v>
      </c>
      <c r="D5" s="101" t="e">
        <f>+VLOOKUP($B5,'Master Data'!$B$20:$W$197,2,FALSE)</f>
        <v>#N/A</v>
      </c>
      <c r="E5" s="94" t="e">
        <f>+VLOOKUP($B5,'Master Data'!$B:$V,21,FALSE)</f>
        <v>#N/A</v>
      </c>
      <c r="F5" s="94" t="e">
        <f t="shared" si="22"/>
        <v>#N/A</v>
      </c>
      <c r="G5" s="95">
        <v>1</v>
      </c>
      <c r="H5" s="95">
        <f>+IF($G5=0.5,2,IF($G5=1,4,$G5))</f>
        <v>4</v>
      </c>
      <c r="I5" s="110" t="s">
        <v>260</v>
      </c>
      <c r="J5" s="110" t="s">
        <v>263</v>
      </c>
      <c r="K5" s="110" t="s">
        <v>236</v>
      </c>
      <c r="L5" s="110">
        <v>15</v>
      </c>
      <c r="M5" s="95">
        <f t="shared" si="20"/>
        <v>1000</v>
      </c>
      <c r="N5" s="94">
        <f>+VLOOKUP($I5,'Master Data'!$B:$V,21,FALSE)</f>
        <v>3.16</v>
      </c>
      <c r="O5" s="95">
        <f t="shared" si="23"/>
        <v>3.16</v>
      </c>
      <c r="P5" s="95">
        <f>+'Master Data'!$W$127*$G5</f>
        <v>2.2000000000000002</v>
      </c>
      <c r="Q5" s="95">
        <f>+'Master Data'!$W$111*$G5</f>
        <v>3.0769230769230771</v>
      </c>
      <c r="R5" s="95">
        <v>0</v>
      </c>
      <c r="S5" s="94">
        <f>+VLOOKUP($J5,'Master Data'!$B:$V,21,FALSE)*$H5</f>
        <v>35.08</v>
      </c>
      <c r="T5" s="94">
        <f>+VLOOKUP($K5,'Master Data'!$B:$V,21,FALSE)</f>
        <v>30</v>
      </c>
      <c r="U5" s="95" t="e">
        <f t="shared" ref="U5:U35" si="25">+($F5+$O5+$P5+$S5)*0.15</f>
        <v>#N/A</v>
      </c>
      <c r="V5" s="95" t="e">
        <f t="shared" si="21"/>
        <v>#N/A</v>
      </c>
    </row>
    <row r="6" spans="1:23">
      <c r="A6" s="66">
        <f t="shared" si="24"/>
        <v>4</v>
      </c>
      <c r="B6" s="102" t="s">
        <v>1</v>
      </c>
      <c r="C6" s="103" t="s">
        <v>157</v>
      </c>
      <c r="D6" s="101" t="str">
        <f>+VLOOKUP($B6,'Master Data'!$B$20:$W$197,2,FALSE)</f>
        <v>Nadha Spices</v>
      </c>
      <c r="E6" s="94">
        <f>+VLOOKUP($B6,'Master Data'!$B:$V,21,FALSE)</f>
        <v>1.1910000000000001</v>
      </c>
      <c r="F6" s="94">
        <f t="shared" si="22"/>
        <v>1191</v>
      </c>
      <c r="G6" s="95">
        <v>40</v>
      </c>
      <c r="H6" s="95">
        <f>+IF($G6=0.5,1,IF($G6=1,1,$G6))</f>
        <v>40</v>
      </c>
      <c r="I6" s="110" t="s">
        <v>260</v>
      </c>
      <c r="J6" s="110" t="s">
        <v>264</v>
      </c>
      <c r="K6" s="110" t="s">
        <v>248</v>
      </c>
      <c r="L6" s="110">
        <v>40</v>
      </c>
      <c r="M6" s="95">
        <f t="shared" si="20"/>
        <v>25</v>
      </c>
      <c r="N6" s="94">
        <f>+VLOOKUP($I6,'Master Data'!$B:$V,21,FALSE)</f>
        <v>3.16</v>
      </c>
      <c r="O6" s="95">
        <f t="shared" si="23"/>
        <v>126.4</v>
      </c>
      <c r="P6" s="95">
        <f>+'Master Data'!$W$127*$G6</f>
        <v>88</v>
      </c>
      <c r="Q6" s="95">
        <f>+'Master Data'!$W$111*$G6</f>
        <v>123.07692307692308</v>
      </c>
      <c r="R6" s="95">
        <v>0</v>
      </c>
      <c r="S6" s="94">
        <f>+VLOOKUP($J6,'Master Data'!$B:$V,21,FALSE)*$H6</f>
        <v>472</v>
      </c>
      <c r="T6" s="94">
        <f>+VLOOKUP($K6,'Master Data'!$B:$V,21,FALSE)</f>
        <v>98</v>
      </c>
      <c r="U6" s="95">
        <f t="shared" si="25"/>
        <v>281.61</v>
      </c>
      <c r="V6" s="95">
        <f t="shared" si="21"/>
        <v>2380.0869230769235</v>
      </c>
      <c r="W6" s="118"/>
    </row>
    <row r="7" spans="1:23">
      <c r="A7" s="66">
        <f t="shared" si="24"/>
        <v>5</v>
      </c>
      <c r="B7" s="102" t="s">
        <v>158</v>
      </c>
      <c r="C7" s="104" t="s">
        <v>159</v>
      </c>
      <c r="D7" s="101" t="str">
        <f>+VLOOKUP($B7,'Master Data'!$B$20:$W$197,2,FALSE)</f>
        <v>Ali Kikabai</v>
      </c>
      <c r="E7" s="94">
        <f>+VLOOKUP($B7,'Master Data'!$B:$V,21,FALSE)</f>
        <v>0.1736</v>
      </c>
      <c r="F7" s="94">
        <f t="shared" si="22"/>
        <v>173.6</v>
      </c>
      <c r="G7" s="95">
        <v>1</v>
      </c>
      <c r="H7" s="95">
        <f t="shared" ref="H7:H10" si="26">+IF($G7=0.5,2,IF($G7=1,4,$G7))</f>
        <v>4</v>
      </c>
      <c r="I7" s="110" t="s">
        <v>260</v>
      </c>
      <c r="J7" s="110" t="s">
        <v>263</v>
      </c>
      <c r="K7" s="110" t="s">
        <v>236</v>
      </c>
      <c r="L7" s="110">
        <v>15</v>
      </c>
      <c r="M7" s="95">
        <f t="shared" si="20"/>
        <v>1000</v>
      </c>
      <c r="N7" s="94">
        <f>+VLOOKUP($I7,'Master Data'!$B:$V,21,FALSE)</f>
        <v>3.16</v>
      </c>
      <c r="O7" s="95">
        <f t="shared" si="23"/>
        <v>3.16</v>
      </c>
      <c r="P7" s="95">
        <f>+'Master Data'!$W$127*$G7</f>
        <v>2.2000000000000002</v>
      </c>
      <c r="Q7" s="95">
        <f>+'Master Data'!$W$111*$G7</f>
        <v>3.0769230769230771</v>
      </c>
      <c r="R7" s="95">
        <v>0</v>
      </c>
      <c r="S7" s="94">
        <f>+VLOOKUP($J7,'Master Data'!$B:$V,21,FALSE)*$H7</f>
        <v>35.08</v>
      </c>
      <c r="T7" s="94">
        <f>+VLOOKUP($K7,'Master Data'!$B:$V,21,FALSE)</f>
        <v>30</v>
      </c>
      <c r="U7" s="95">
        <f t="shared" si="25"/>
        <v>32.105999999999995</v>
      </c>
      <c r="V7" s="95">
        <f t="shared" si="21"/>
        <v>279.22292307692305</v>
      </c>
    </row>
    <row r="8" spans="1:23">
      <c r="A8" s="66">
        <f t="shared" si="24"/>
        <v>6</v>
      </c>
      <c r="B8" s="102" t="s">
        <v>5</v>
      </c>
      <c r="C8" s="104" t="s">
        <v>160</v>
      </c>
      <c r="D8" s="101" t="str">
        <f>+VLOOKUP($B8,'Master Data'!$B$20:$W$197,2,FALSE)</f>
        <v>Eternal Blooms</v>
      </c>
      <c r="E8" s="94">
        <f>+VLOOKUP($B8,'Master Data'!$B:$V,21,FALSE)</f>
        <v>1.006</v>
      </c>
      <c r="F8" s="94">
        <f t="shared" si="22"/>
        <v>1006</v>
      </c>
      <c r="G8" s="95">
        <v>1</v>
      </c>
      <c r="H8" s="95">
        <f t="shared" si="26"/>
        <v>4</v>
      </c>
      <c r="I8" s="110" t="s">
        <v>260</v>
      </c>
      <c r="J8" s="110" t="s">
        <v>263</v>
      </c>
      <c r="K8" s="110" t="s">
        <v>236</v>
      </c>
      <c r="L8" s="110">
        <v>15</v>
      </c>
      <c r="M8" s="95">
        <f t="shared" si="20"/>
        <v>1000</v>
      </c>
      <c r="N8" s="94">
        <f>+VLOOKUP($I8,'Master Data'!$B:$V,21,FALSE)</f>
        <v>3.16</v>
      </c>
      <c r="O8" s="95">
        <f t="shared" si="23"/>
        <v>3.16</v>
      </c>
      <c r="P8" s="95">
        <f>+'Master Data'!$W$127*$G8</f>
        <v>2.2000000000000002</v>
      </c>
      <c r="Q8" s="95">
        <f>+'Master Data'!$W$111*$G8</f>
        <v>3.0769230769230771</v>
      </c>
      <c r="R8" s="95">
        <v>0</v>
      </c>
      <c r="S8" s="94">
        <f>+VLOOKUP($J8,'Master Data'!$B:$V,21,FALSE)*$H8</f>
        <v>35.08</v>
      </c>
      <c r="T8" s="94">
        <f>+VLOOKUP($K8,'Master Data'!$B:$V,21,FALSE)</f>
        <v>30</v>
      </c>
      <c r="U8" s="95">
        <f t="shared" si="25"/>
        <v>156.96600000000001</v>
      </c>
      <c r="V8" s="95">
        <f t="shared" si="21"/>
        <v>1236.4829230769233</v>
      </c>
    </row>
    <row r="9" spans="1:23">
      <c r="A9" s="66">
        <f t="shared" si="24"/>
        <v>7</v>
      </c>
      <c r="B9" s="102" t="s">
        <v>161</v>
      </c>
      <c r="C9" s="104" t="s">
        <v>162</v>
      </c>
      <c r="D9" s="101" t="str">
        <f>+VLOOKUP($B9,'Master Data'!$B$20:$W$197,2,FALSE)</f>
        <v>MS Malagi</v>
      </c>
      <c r="E9" s="94">
        <f>+VLOOKUP($B9,'Master Data'!$B:$V,21,FALSE)</f>
        <v>0.61099999999999999</v>
      </c>
      <c r="F9" s="94">
        <f t="shared" si="22"/>
        <v>611</v>
      </c>
      <c r="G9" s="95">
        <v>1</v>
      </c>
      <c r="H9" s="95">
        <f t="shared" si="26"/>
        <v>4</v>
      </c>
      <c r="I9" s="110" t="s">
        <v>260</v>
      </c>
      <c r="J9" s="110" t="s">
        <v>263</v>
      </c>
      <c r="K9" s="110" t="s">
        <v>236</v>
      </c>
      <c r="L9" s="110">
        <v>15</v>
      </c>
      <c r="M9" s="95">
        <f t="shared" si="20"/>
        <v>1000</v>
      </c>
      <c r="N9" s="94">
        <f>+VLOOKUP($I9,'Master Data'!$B:$V,21,FALSE)</f>
        <v>3.16</v>
      </c>
      <c r="O9" s="95">
        <f t="shared" si="23"/>
        <v>3.16</v>
      </c>
      <c r="P9" s="95">
        <f>+'Master Data'!$W$127*$G9</f>
        <v>2.2000000000000002</v>
      </c>
      <c r="Q9" s="95">
        <f>+'Master Data'!$W$111*$G9</f>
        <v>3.0769230769230771</v>
      </c>
      <c r="R9" s="95">
        <v>0</v>
      </c>
      <c r="S9" s="94">
        <f>+VLOOKUP($J9,'Master Data'!$B:$V,21,FALSE)*$H9</f>
        <v>35.08</v>
      </c>
      <c r="T9" s="94">
        <f>+VLOOKUP($K9,'Master Data'!$B:$V,21,FALSE)</f>
        <v>30</v>
      </c>
      <c r="U9" s="95">
        <f t="shared" si="25"/>
        <v>97.716000000000008</v>
      </c>
      <c r="V9" s="95">
        <f t="shared" si="21"/>
        <v>782.23292307692316</v>
      </c>
    </row>
    <row r="10" spans="1:23">
      <c r="A10" s="66">
        <f t="shared" si="24"/>
        <v>8</v>
      </c>
      <c r="B10" s="102" t="s">
        <v>163</v>
      </c>
      <c r="C10" s="104" t="s">
        <v>164</v>
      </c>
      <c r="D10" s="101" t="str">
        <f>+VLOOKUP($B10,'Master Data'!$B$20:$W$197,2,FALSE)</f>
        <v>MS Malagi</v>
      </c>
      <c r="E10" s="94">
        <f>+VLOOKUP($B10,'Master Data'!$B:$V,21,FALSE)</f>
        <v>0.64100000000000001</v>
      </c>
      <c r="F10" s="94">
        <f t="shared" si="22"/>
        <v>641</v>
      </c>
      <c r="G10" s="95">
        <v>1</v>
      </c>
      <c r="H10" s="95">
        <f t="shared" si="26"/>
        <v>4</v>
      </c>
      <c r="I10" s="110" t="s">
        <v>260</v>
      </c>
      <c r="J10" s="110" t="s">
        <v>263</v>
      </c>
      <c r="K10" s="110" t="s">
        <v>236</v>
      </c>
      <c r="L10" s="110">
        <v>15</v>
      </c>
      <c r="M10" s="95">
        <f t="shared" si="20"/>
        <v>1000</v>
      </c>
      <c r="N10" s="94">
        <f>+VLOOKUP($I10,'Master Data'!$B:$V,21,FALSE)</f>
        <v>3.16</v>
      </c>
      <c r="O10" s="95">
        <f t="shared" si="23"/>
        <v>3.16</v>
      </c>
      <c r="P10" s="95">
        <f>+'Master Data'!$W$127*$G10</f>
        <v>2.2000000000000002</v>
      </c>
      <c r="Q10" s="95">
        <f>+'Master Data'!$W$111*$G10</f>
        <v>3.0769230769230771</v>
      </c>
      <c r="R10" s="95">
        <v>0</v>
      </c>
      <c r="S10" s="94">
        <f>+VLOOKUP($J10,'Master Data'!$B:$V,21,FALSE)*$H10</f>
        <v>35.08</v>
      </c>
      <c r="T10" s="94">
        <f>+VLOOKUP($K10,'Master Data'!$B:$V,21,FALSE)</f>
        <v>30</v>
      </c>
      <c r="U10" s="95">
        <f t="shared" si="25"/>
        <v>102.21600000000001</v>
      </c>
      <c r="V10" s="95">
        <f t="shared" si="21"/>
        <v>816.73292307692316</v>
      </c>
    </row>
    <row r="11" spans="1:23">
      <c r="A11" s="66">
        <f t="shared" si="24"/>
        <v>9</v>
      </c>
      <c r="B11" s="102" t="s">
        <v>0</v>
      </c>
      <c r="C11" s="103" t="s">
        <v>165</v>
      </c>
      <c r="D11" s="101" t="str">
        <f>+VLOOKUP($B11,'Master Data'!$B$20:$W$197,2,FALSE)</f>
        <v>Nadha Spices</v>
      </c>
      <c r="E11" s="94">
        <f>+VLOOKUP($B11,'Master Data'!$B:$V,21,FALSE)</f>
        <v>0.88100000000000001</v>
      </c>
      <c r="F11" s="94">
        <f t="shared" si="22"/>
        <v>881</v>
      </c>
      <c r="G11" s="95">
        <v>1</v>
      </c>
      <c r="H11" s="95">
        <f>+IF($G11=0.5,1,IF($G11=1,1,$G11))</f>
        <v>1</v>
      </c>
      <c r="I11" s="110" t="s">
        <v>260</v>
      </c>
      <c r="J11" s="110" t="s">
        <v>263</v>
      </c>
      <c r="K11" s="110" t="s">
        <v>236</v>
      </c>
      <c r="L11" s="110">
        <v>15</v>
      </c>
      <c r="M11" s="95">
        <f t="shared" si="20"/>
        <v>1000</v>
      </c>
      <c r="N11" s="94">
        <f>+VLOOKUP($I11,'Master Data'!$B:$V,21,FALSE)</f>
        <v>3.16</v>
      </c>
      <c r="O11" s="95">
        <f t="shared" si="23"/>
        <v>3.16</v>
      </c>
      <c r="P11" s="95">
        <f>+'Master Data'!$W$127*$G11</f>
        <v>2.2000000000000002</v>
      </c>
      <c r="Q11" s="95">
        <f>+'Master Data'!$W$111*$G11</f>
        <v>3.0769230769230771</v>
      </c>
      <c r="R11" s="95">
        <v>0</v>
      </c>
      <c r="S11" s="94">
        <f>+VLOOKUP($J11,'Master Data'!$B:$V,21,FALSE)*$H11</f>
        <v>8.77</v>
      </c>
      <c r="T11" s="94">
        <f>+VLOOKUP($K11,'Master Data'!$B:$V,21,FALSE)</f>
        <v>30</v>
      </c>
      <c r="U11" s="95">
        <f t="shared" si="25"/>
        <v>134.26949999999999</v>
      </c>
      <c r="V11" s="95">
        <f t="shared" si="21"/>
        <v>1062.4764230769231</v>
      </c>
    </row>
    <row r="12" spans="1:23">
      <c r="A12" s="66">
        <f t="shared" si="24"/>
        <v>10</v>
      </c>
      <c r="B12" s="102" t="s">
        <v>2</v>
      </c>
      <c r="C12" s="104" t="s">
        <v>166</v>
      </c>
      <c r="D12" s="101" t="str">
        <f>+VLOOKUP($B12,'Master Data'!$B$20:$W$197,2,FALSE)</f>
        <v>Chandan Enterprise</v>
      </c>
      <c r="E12" s="94">
        <f>+VLOOKUP($B12,'Master Data'!$B:$V,21,FALSE)</f>
        <v>0.192</v>
      </c>
      <c r="F12" s="94">
        <f t="shared" si="22"/>
        <v>192</v>
      </c>
      <c r="G12" s="95">
        <v>1</v>
      </c>
      <c r="H12" s="95">
        <f>+IF($G12=0.5,1,IF($G12=1,2,$G12))</f>
        <v>2</v>
      </c>
      <c r="I12" s="110" t="s">
        <v>260</v>
      </c>
      <c r="J12" s="110" t="s">
        <v>263</v>
      </c>
      <c r="K12" s="110" t="s">
        <v>236</v>
      </c>
      <c r="L12" s="110">
        <v>15</v>
      </c>
      <c r="M12" s="95">
        <f t="shared" si="20"/>
        <v>1000</v>
      </c>
      <c r="N12" s="94">
        <f>+VLOOKUP($I12,'Master Data'!$B:$V,21,FALSE)</f>
        <v>3.16</v>
      </c>
      <c r="O12" s="95">
        <f t="shared" si="23"/>
        <v>3.16</v>
      </c>
      <c r="P12" s="95">
        <f>+'Master Data'!$W$127*$G12</f>
        <v>2.2000000000000002</v>
      </c>
      <c r="Q12" s="95">
        <f>+'Master Data'!$W$111*$G12</f>
        <v>3.0769230769230771</v>
      </c>
      <c r="R12" s="95">
        <v>0</v>
      </c>
      <c r="S12" s="94">
        <f>+VLOOKUP($J12,'Master Data'!$B:$V,21,FALSE)*$H12</f>
        <v>17.54</v>
      </c>
      <c r="T12" s="94">
        <f>+VLOOKUP($K12,'Master Data'!$B:$V,21,FALSE)</f>
        <v>30</v>
      </c>
      <c r="U12" s="95">
        <f t="shared" si="25"/>
        <v>32.234999999999992</v>
      </c>
      <c r="V12" s="95">
        <f t="shared" si="21"/>
        <v>280.21192307692303</v>
      </c>
    </row>
    <row r="13" spans="1:23">
      <c r="A13" s="66">
        <f t="shared" si="24"/>
        <v>11</v>
      </c>
      <c r="B13" s="102" t="s">
        <v>3</v>
      </c>
      <c r="C13" s="104" t="s">
        <v>167</v>
      </c>
      <c r="D13" s="101" t="str">
        <f>+VLOOKUP($B13,'Master Data'!$B$20:$W$197,2,FALSE)</f>
        <v>Chandan Enterprise</v>
      </c>
      <c r="E13" s="94">
        <f>+VLOOKUP($B13,'Master Data'!$B:$V,21,FALSE)</f>
        <v>0.30399999999999999</v>
      </c>
      <c r="F13" s="94">
        <f t="shared" si="22"/>
        <v>304</v>
      </c>
      <c r="G13" s="95">
        <v>1</v>
      </c>
      <c r="H13" s="95">
        <f t="shared" ref="H13:H14" si="27">+IF($G13=0.5,1,IF($G13=1,1,$G13))</f>
        <v>1</v>
      </c>
      <c r="I13" s="110" t="s">
        <v>260</v>
      </c>
      <c r="J13" s="110" t="s">
        <v>263</v>
      </c>
      <c r="K13" s="110" t="s">
        <v>236</v>
      </c>
      <c r="L13" s="110">
        <v>15</v>
      </c>
      <c r="M13" s="95">
        <f t="shared" si="20"/>
        <v>1000</v>
      </c>
      <c r="N13" s="94">
        <f>+VLOOKUP($I13,'Master Data'!$B:$V,21,FALSE)</f>
        <v>3.16</v>
      </c>
      <c r="O13" s="95">
        <f t="shared" si="23"/>
        <v>3.16</v>
      </c>
      <c r="P13" s="95">
        <f>+'Master Data'!$W$127*$G13</f>
        <v>2.2000000000000002</v>
      </c>
      <c r="Q13" s="95">
        <f>+'Master Data'!$W$111*$G13</f>
        <v>3.0769230769230771</v>
      </c>
      <c r="R13" s="95">
        <v>0</v>
      </c>
      <c r="S13" s="94">
        <f>+VLOOKUP($J13,'Master Data'!$B:$V,21,FALSE)*$H13</f>
        <v>8.77</v>
      </c>
      <c r="T13" s="94">
        <f>+VLOOKUP($K13,'Master Data'!$B:$V,21,FALSE)</f>
        <v>30</v>
      </c>
      <c r="U13" s="95">
        <f t="shared" si="25"/>
        <v>47.719499999999996</v>
      </c>
      <c r="V13" s="95">
        <f t="shared" si="21"/>
        <v>398.92642307692307</v>
      </c>
    </row>
    <row r="14" spans="1:23">
      <c r="A14" s="66">
        <f t="shared" si="24"/>
        <v>12</v>
      </c>
      <c r="B14" s="105" t="s">
        <v>41</v>
      </c>
      <c r="C14" s="104" t="s">
        <v>168</v>
      </c>
      <c r="D14" s="101" t="str">
        <f>+VLOOKUP($B14,'Master Data'!$B$20:$W$197,2,FALSE)</f>
        <v>Chandan Enterprise</v>
      </c>
      <c r="E14" s="94">
        <f>+VLOOKUP($B14,'Master Data'!$B:$V,21,FALSE)</f>
        <v>0.13200000000000001</v>
      </c>
      <c r="F14" s="94">
        <f t="shared" si="22"/>
        <v>132</v>
      </c>
      <c r="G14" s="95">
        <v>1</v>
      </c>
      <c r="H14" s="95">
        <f t="shared" si="27"/>
        <v>1</v>
      </c>
      <c r="I14" s="110" t="s">
        <v>260</v>
      </c>
      <c r="J14" s="110" t="s">
        <v>263</v>
      </c>
      <c r="K14" s="110" t="s">
        <v>236</v>
      </c>
      <c r="L14" s="110">
        <v>15</v>
      </c>
      <c r="M14" s="95">
        <f t="shared" si="20"/>
        <v>1000</v>
      </c>
      <c r="N14" s="94">
        <f>+VLOOKUP($I14,'Master Data'!$B:$V,21,FALSE)</f>
        <v>3.16</v>
      </c>
      <c r="O14" s="95">
        <f t="shared" si="23"/>
        <v>3.16</v>
      </c>
      <c r="P14" s="95">
        <f>+'Master Data'!$W$127*$G14</f>
        <v>2.2000000000000002</v>
      </c>
      <c r="Q14" s="95">
        <f>+'Master Data'!$W$111*$G14</f>
        <v>3.0769230769230771</v>
      </c>
      <c r="R14" s="95">
        <v>0</v>
      </c>
      <c r="S14" s="94">
        <f>+VLOOKUP($J14,'Master Data'!$B:$V,21,FALSE)*$H14</f>
        <v>8.77</v>
      </c>
      <c r="T14" s="94">
        <f>+VLOOKUP($K14,'Master Data'!$B:$V,21,FALSE)</f>
        <v>30</v>
      </c>
      <c r="U14" s="95">
        <f t="shared" si="25"/>
        <v>21.919499999999999</v>
      </c>
      <c r="V14" s="95">
        <f t="shared" si="21"/>
        <v>201.12642307692306</v>
      </c>
    </row>
    <row r="15" spans="1:23">
      <c r="A15" s="66">
        <f t="shared" si="24"/>
        <v>13</v>
      </c>
      <c r="B15" s="100" t="s">
        <v>16</v>
      </c>
      <c r="C15" s="100" t="s">
        <v>169</v>
      </c>
      <c r="D15" s="101" t="str">
        <f>+VLOOKUP($B15,'Master Data'!$B$20:$W$197,2,FALSE)</f>
        <v>Eternal Blooms</v>
      </c>
      <c r="E15" s="94">
        <f>+VLOOKUP($B15,'Master Data'!$B:$V,21,FALSE)</f>
        <v>2.7410000000000001</v>
      </c>
      <c r="F15" s="94">
        <f t="shared" si="22"/>
        <v>2741</v>
      </c>
      <c r="G15" s="95">
        <v>1</v>
      </c>
      <c r="H15" s="95">
        <f>+IF($G15=0.5,2,IF($G15=1,4,$G15))</f>
        <v>4</v>
      </c>
      <c r="I15" s="110" t="s">
        <v>260</v>
      </c>
      <c r="J15" s="110" t="s">
        <v>263</v>
      </c>
      <c r="K15" s="110" t="s">
        <v>236</v>
      </c>
      <c r="L15" s="110">
        <v>15</v>
      </c>
      <c r="M15" s="95">
        <f t="shared" si="20"/>
        <v>1000</v>
      </c>
      <c r="N15" s="94">
        <f>+VLOOKUP($I15,'Master Data'!$B:$V,21,FALSE)</f>
        <v>3.16</v>
      </c>
      <c r="O15" s="95">
        <f t="shared" si="23"/>
        <v>3.16</v>
      </c>
      <c r="P15" s="95">
        <f>+'Master Data'!$W$127*$G15</f>
        <v>2.2000000000000002</v>
      </c>
      <c r="Q15" s="95">
        <f>+'Master Data'!$W$111*$G15</f>
        <v>3.0769230769230771</v>
      </c>
      <c r="R15" s="95">
        <v>0</v>
      </c>
      <c r="S15" s="94">
        <f>+VLOOKUP($J15,'Master Data'!$B:$V,21,FALSE)*$H15</f>
        <v>35.08</v>
      </c>
      <c r="T15" s="94">
        <f>+VLOOKUP($K15,'Master Data'!$B:$V,21,FALSE)</f>
        <v>30</v>
      </c>
      <c r="U15" s="95">
        <f t="shared" si="25"/>
        <v>417.21599999999995</v>
      </c>
      <c r="V15" s="95">
        <f t="shared" si="21"/>
        <v>3231.7329230769224</v>
      </c>
    </row>
    <row r="16" spans="1:23">
      <c r="A16" s="66">
        <f t="shared" si="24"/>
        <v>14</v>
      </c>
      <c r="B16" s="100" t="s">
        <v>12</v>
      </c>
      <c r="C16" s="100" t="s">
        <v>170</v>
      </c>
      <c r="D16" s="101" t="str">
        <f>+VLOOKUP($B16,'Master Data'!$B$20:$W$197,2,FALSE)</f>
        <v>Nadha Spices</v>
      </c>
      <c r="E16" s="94">
        <f>+VLOOKUP($B16,'Master Data'!$B:$V,21,FALSE)</f>
        <v>0.94099999999999995</v>
      </c>
      <c r="F16" s="94">
        <f t="shared" si="22"/>
        <v>941</v>
      </c>
      <c r="G16" s="95">
        <v>1</v>
      </c>
      <c r="H16" s="95">
        <f>+IF($G16=0.5,1,IF($G16=1,2,$G16))</f>
        <v>2</v>
      </c>
      <c r="I16" s="110" t="s">
        <v>260</v>
      </c>
      <c r="J16" s="110" t="s">
        <v>263</v>
      </c>
      <c r="K16" s="110" t="s">
        <v>236</v>
      </c>
      <c r="L16" s="110">
        <v>15</v>
      </c>
      <c r="M16" s="95">
        <f t="shared" si="20"/>
        <v>1000</v>
      </c>
      <c r="N16" s="94">
        <f>+VLOOKUP($I16,'Master Data'!$B:$V,21,FALSE)</f>
        <v>3.16</v>
      </c>
      <c r="O16" s="95">
        <f t="shared" si="23"/>
        <v>3.16</v>
      </c>
      <c r="P16" s="95">
        <f>+'Master Data'!$W$127*$G16</f>
        <v>2.2000000000000002</v>
      </c>
      <c r="Q16" s="95">
        <f>+'Master Data'!$W$111*$G16</f>
        <v>3.0769230769230771</v>
      </c>
      <c r="R16" s="95">
        <v>0</v>
      </c>
      <c r="S16" s="94">
        <f>+VLOOKUP($J16,'Master Data'!$B:$V,21,FALSE)*$H16</f>
        <v>17.54</v>
      </c>
      <c r="T16" s="94">
        <f>+VLOOKUP($K16,'Master Data'!$B:$V,21,FALSE)</f>
        <v>30</v>
      </c>
      <c r="U16" s="95">
        <f t="shared" si="25"/>
        <v>144.58499999999998</v>
      </c>
      <c r="V16" s="95">
        <f t="shared" si="21"/>
        <v>1141.561923076923</v>
      </c>
    </row>
    <row r="17" spans="1:22">
      <c r="A17" s="66">
        <f t="shared" si="24"/>
        <v>15</v>
      </c>
      <c r="B17" s="100" t="s">
        <v>13</v>
      </c>
      <c r="C17" s="100" t="s">
        <v>171</v>
      </c>
      <c r="D17" s="101" t="str">
        <f>+VLOOKUP($B17,'Master Data'!$B$20:$W$197,2,FALSE)</f>
        <v>Ali Kikabai</v>
      </c>
      <c r="E17" s="94">
        <f>+VLOOKUP($B17,'Master Data'!$B:$V,21,FALSE)</f>
        <v>0.51960000000000006</v>
      </c>
      <c r="F17" s="94">
        <f t="shared" si="22"/>
        <v>519.6</v>
      </c>
      <c r="G17" s="95">
        <v>1</v>
      </c>
      <c r="H17" s="95">
        <f>+IF($G17=0.5,1,IF($G17=1,2,$G17))</f>
        <v>2</v>
      </c>
      <c r="I17" s="110" t="s">
        <v>260</v>
      </c>
      <c r="J17" s="110" t="s">
        <v>263</v>
      </c>
      <c r="K17" s="110" t="s">
        <v>236</v>
      </c>
      <c r="L17" s="110">
        <v>15</v>
      </c>
      <c r="M17" s="95">
        <f t="shared" si="20"/>
        <v>1000</v>
      </c>
      <c r="N17" s="94">
        <f>+VLOOKUP($I17,'Master Data'!$B:$V,21,FALSE)</f>
        <v>3.16</v>
      </c>
      <c r="O17" s="95">
        <f t="shared" si="23"/>
        <v>3.16</v>
      </c>
      <c r="P17" s="95">
        <f>+'Master Data'!$W$127*$G17</f>
        <v>2.2000000000000002</v>
      </c>
      <c r="Q17" s="95">
        <f>+'Master Data'!$W$111*$G17</f>
        <v>3.0769230769230771</v>
      </c>
      <c r="R17" s="95">
        <v>0</v>
      </c>
      <c r="S17" s="94">
        <f>+VLOOKUP($J17,'Master Data'!$B:$V,21,FALSE)*$H17</f>
        <v>17.54</v>
      </c>
      <c r="T17" s="94">
        <f>+VLOOKUP($K17,'Master Data'!$B:$V,21,FALSE)</f>
        <v>30</v>
      </c>
      <c r="U17" s="95">
        <f t="shared" si="25"/>
        <v>81.375</v>
      </c>
      <c r="V17" s="95">
        <f t="shared" si="21"/>
        <v>656.95192307692309</v>
      </c>
    </row>
    <row r="18" spans="1:22">
      <c r="A18" s="66">
        <f t="shared" si="24"/>
        <v>16</v>
      </c>
      <c r="B18" s="102" t="s">
        <v>172</v>
      </c>
      <c r="C18" s="103" t="s">
        <v>173</v>
      </c>
      <c r="D18" s="101" t="s">
        <v>292</v>
      </c>
      <c r="E18" s="94" t="e">
        <f>+VLOOKUP($B18,#REF!,2,FALSE)/100</f>
        <v>#REF!</v>
      </c>
      <c r="F18" s="94" t="e">
        <f t="shared" si="22"/>
        <v>#REF!</v>
      </c>
      <c r="G18" s="95">
        <v>1</v>
      </c>
      <c r="H18" s="95">
        <f t="shared" ref="H18:H45" si="28">+IF($G18=0.5,1,IF($G18=1,1,$G18))</f>
        <v>1</v>
      </c>
      <c r="I18" s="110" t="s">
        <v>260</v>
      </c>
      <c r="J18" s="110" t="s">
        <v>263</v>
      </c>
      <c r="K18" s="110" t="s">
        <v>236</v>
      </c>
      <c r="L18" s="110">
        <v>15</v>
      </c>
      <c r="M18" s="95">
        <f t="shared" si="20"/>
        <v>1000</v>
      </c>
      <c r="N18" s="94">
        <f>+VLOOKUP($I18,'Master Data'!$B:$V,21,FALSE)</f>
        <v>3.16</v>
      </c>
      <c r="O18" s="95">
        <f t="shared" si="23"/>
        <v>3.16</v>
      </c>
      <c r="P18" s="95">
        <f>+'Master Data'!$W$127*$G18</f>
        <v>2.2000000000000002</v>
      </c>
      <c r="Q18" s="95">
        <f>+'Master Data'!$W$111*$G18</f>
        <v>3.0769230769230771</v>
      </c>
      <c r="R18" s="95">
        <v>0</v>
      </c>
      <c r="S18" s="94">
        <f>+VLOOKUP($J18,'Master Data'!$B:$V,21,FALSE)*$H18</f>
        <v>8.77</v>
      </c>
      <c r="T18" s="94">
        <f>+VLOOKUP($K18,'Master Data'!$B:$V,21,FALSE)</f>
        <v>30</v>
      </c>
      <c r="U18" s="95" t="e">
        <f t="shared" si="25"/>
        <v>#REF!</v>
      </c>
      <c r="V18" s="95" t="e">
        <f t="shared" si="21"/>
        <v>#REF!</v>
      </c>
    </row>
    <row r="19" spans="1:22">
      <c r="A19" s="66">
        <f t="shared" si="24"/>
        <v>17</v>
      </c>
      <c r="B19" s="102" t="s">
        <v>174</v>
      </c>
      <c r="C19" s="103" t="s">
        <v>175</v>
      </c>
      <c r="D19" s="101" t="s">
        <v>292</v>
      </c>
      <c r="E19" s="94" t="e">
        <f>+VLOOKUP($B19,#REF!,2,FALSE)/100</f>
        <v>#REF!</v>
      </c>
      <c r="F19" s="94" t="e">
        <f t="shared" si="22"/>
        <v>#REF!</v>
      </c>
      <c r="G19" s="95">
        <v>1</v>
      </c>
      <c r="H19" s="95">
        <f t="shared" si="28"/>
        <v>1</v>
      </c>
      <c r="I19" s="110" t="s">
        <v>235</v>
      </c>
      <c r="J19" s="110" t="s">
        <v>263</v>
      </c>
      <c r="K19" s="110" t="s">
        <v>236</v>
      </c>
      <c r="L19" s="110">
        <v>15</v>
      </c>
      <c r="M19" s="95">
        <f t="shared" si="20"/>
        <v>1000</v>
      </c>
      <c r="N19" s="94">
        <f>+VLOOKUP($I19,'Master Data'!$B:$V,21,FALSE)</f>
        <v>2.23</v>
      </c>
      <c r="O19" s="95">
        <f t="shared" si="23"/>
        <v>2.23</v>
      </c>
      <c r="P19" s="95">
        <f>+'Master Data'!$W$127*$G19</f>
        <v>2.2000000000000002</v>
      </c>
      <c r="Q19" s="95">
        <f>+'Master Data'!$W$111*$G19</f>
        <v>3.0769230769230771</v>
      </c>
      <c r="R19" s="95">
        <v>0</v>
      </c>
      <c r="S19" s="94">
        <f>+VLOOKUP($J19,'Master Data'!$B:$V,21,FALSE)*$H19</f>
        <v>8.77</v>
      </c>
      <c r="T19" s="94">
        <f>+VLOOKUP($K19,'Master Data'!$B:$V,21,FALSE)</f>
        <v>30</v>
      </c>
      <c r="U19" s="95" t="e">
        <f t="shared" si="25"/>
        <v>#REF!</v>
      </c>
      <c r="V19" s="95" t="e">
        <f t="shared" si="21"/>
        <v>#REF!</v>
      </c>
    </row>
    <row r="20" spans="1:22">
      <c r="A20" s="66">
        <f t="shared" si="24"/>
        <v>18</v>
      </c>
      <c r="B20" s="102" t="s">
        <v>176</v>
      </c>
      <c r="C20" s="104" t="s">
        <v>177</v>
      </c>
      <c r="D20" s="101" t="s">
        <v>292</v>
      </c>
      <c r="E20" s="94" t="e">
        <f>+VLOOKUP($B20,#REF!,2,FALSE)/100</f>
        <v>#REF!</v>
      </c>
      <c r="F20" s="94" t="e">
        <f t="shared" si="22"/>
        <v>#REF!</v>
      </c>
      <c r="G20" s="95">
        <v>1</v>
      </c>
      <c r="H20" s="95">
        <f t="shared" si="28"/>
        <v>1</v>
      </c>
      <c r="I20" s="110" t="s">
        <v>235</v>
      </c>
      <c r="J20" s="110" t="s">
        <v>263</v>
      </c>
      <c r="K20" s="110" t="s">
        <v>236</v>
      </c>
      <c r="L20" s="110">
        <v>15</v>
      </c>
      <c r="M20" s="95">
        <f t="shared" si="20"/>
        <v>1000</v>
      </c>
      <c r="N20" s="94">
        <f>+VLOOKUP($I20,'Master Data'!$B:$V,21,FALSE)</f>
        <v>2.23</v>
      </c>
      <c r="O20" s="95">
        <f t="shared" si="23"/>
        <v>2.23</v>
      </c>
      <c r="P20" s="95">
        <f>+'Master Data'!$W$127*$G20</f>
        <v>2.2000000000000002</v>
      </c>
      <c r="Q20" s="95">
        <f>+'Master Data'!$W$111*$G20</f>
        <v>3.0769230769230771</v>
      </c>
      <c r="R20" s="95">
        <v>0</v>
      </c>
      <c r="S20" s="94">
        <f>+VLOOKUP($J20,'Master Data'!$B:$V,21,FALSE)*$H20</f>
        <v>8.77</v>
      </c>
      <c r="T20" s="94">
        <f>+VLOOKUP($K20,'Master Data'!$B:$V,21,FALSE)</f>
        <v>30</v>
      </c>
      <c r="U20" s="95" t="e">
        <f t="shared" si="25"/>
        <v>#REF!</v>
      </c>
      <c r="V20" s="95" t="e">
        <f t="shared" si="21"/>
        <v>#REF!</v>
      </c>
    </row>
    <row r="21" spans="1:22">
      <c r="A21" s="66">
        <f t="shared" si="24"/>
        <v>19</v>
      </c>
      <c r="B21" s="106" t="s">
        <v>228</v>
      </c>
      <c r="C21" s="102" t="s">
        <v>178</v>
      </c>
      <c r="D21" s="101" t="s">
        <v>292</v>
      </c>
      <c r="E21" s="94" t="e">
        <f>+VLOOKUP($B21,#REF!,2,FALSE)/100</f>
        <v>#REF!</v>
      </c>
      <c r="F21" s="94" t="e">
        <f t="shared" si="22"/>
        <v>#REF!</v>
      </c>
      <c r="G21" s="95">
        <v>1</v>
      </c>
      <c r="H21" s="95">
        <f t="shared" si="28"/>
        <v>1</v>
      </c>
      <c r="I21" s="110" t="s">
        <v>235</v>
      </c>
      <c r="J21" s="110" t="s">
        <v>263</v>
      </c>
      <c r="K21" s="110" t="s">
        <v>236</v>
      </c>
      <c r="L21" s="110">
        <v>15</v>
      </c>
      <c r="M21" s="95">
        <f t="shared" si="20"/>
        <v>1000</v>
      </c>
      <c r="N21" s="94">
        <f>+VLOOKUP($I21,'Master Data'!$B:$V,21,FALSE)</f>
        <v>2.23</v>
      </c>
      <c r="O21" s="95">
        <f t="shared" si="23"/>
        <v>2.23</v>
      </c>
      <c r="P21" s="95">
        <f>+'Master Data'!$W$127*$G21</f>
        <v>2.2000000000000002</v>
      </c>
      <c r="Q21" s="95">
        <f>+'Master Data'!$W$111*$G21</f>
        <v>3.0769230769230771</v>
      </c>
      <c r="R21" s="95">
        <v>0</v>
      </c>
      <c r="S21" s="94">
        <f>+VLOOKUP($J21,'Master Data'!$B:$V,21,FALSE)*$H21</f>
        <v>8.77</v>
      </c>
      <c r="T21" s="94">
        <f>+VLOOKUP($K21,'Master Data'!$B:$V,21,FALSE)</f>
        <v>30</v>
      </c>
      <c r="U21" s="95" t="e">
        <f t="shared" si="25"/>
        <v>#REF!</v>
      </c>
      <c r="V21" s="95" t="e">
        <f t="shared" si="21"/>
        <v>#REF!</v>
      </c>
    </row>
    <row r="22" spans="1:22">
      <c r="A22" s="66">
        <f t="shared" si="24"/>
        <v>20</v>
      </c>
      <c r="B22" s="102" t="s">
        <v>179</v>
      </c>
      <c r="C22" s="104" t="s">
        <v>180</v>
      </c>
      <c r="D22" s="101" t="str">
        <f>+VLOOKUP($B22,'Master Data'!$B$20:$W$197,2,FALSE)</f>
        <v>MS Malagi</v>
      </c>
      <c r="E22" s="94">
        <f>+VLOOKUP($B22,'Master Data'!$B:$V,21,FALSE)</f>
        <v>0.28100000000000003</v>
      </c>
      <c r="F22" s="94">
        <f t="shared" si="22"/>
        <v>281</v>
      </c>
      <c r="G22" s="95">
        <v>1</v>
      </c>
      <c r="H22" s="95">
        <f t="shared" si="28"/>
        <v>1</v>
      </c>
      <c r="I22" s="110" t="s">
        <v>235</v>
      </c>
      <c r="J22" s="110" t="s">
        <v>263</v>
      </c>
      <c r="K22" s="110" t="s">
        <v>236</v>
      </c>
      <c r="L22" s="110">
        <v>15</v>
      </c>
      <c r="M22" s="95">
        <f t="shared" si="20"/>
        <v>1000</v>
      </c>
      <c r="N22" s="94">
        <f>+VLOOKUP($I22,'Master Data'!$B:$V,21,FALSE)</f>
        <v>2.23</v>
      </c>
      <c r="O22" s="95">
        <f t="shared" si="23"/>
        <v>2.23</v>
      </c>
      <c r="P22" s="95">
        <f>+'Master Data'!$W$127*$G22</f>
        <v>2.2000000000000002</v>
      </c>
      <c r="Q22" s="95">
        <f>+'Master Data'!$W$111*$G22</f>
        <v>3.0769230769230771</v>
      </c>
      <c r="R22" s="95">
        <v>0</v>
      </c>
      <c r="S22" s="94">
        <f>+VLOOKUP($J22,'Master Data'!$B:$V,21,FALSE)*$H22</f>
        <v>8.77</v>
      </c>
      <c r="T22" s="94">
        <f>+VLOOKUP($K22,'Master Data'!$B:$V,21,FALSE)</f>
        <v>30</v>
      </c>
      <c r="U22" s="95">
        <f t="shared" si="25"/>
        <v>44.129999999999995</v>
      </c>
      <c r="V22" s="95">
        <f t="shared" si="21"/>
        <v>371.40692307692308</v>
      </c>
    </row>
    <row r="23" spans="1:22">
      <c r="A23" s="66">
        <f t="shared" si="24"/>
        <v>21</v>
      </c>
      <c r="B23" s="102" t="s">
        <v>181</v>
      </c>
      <c r="C23" s="102" t="s">
        <v>182</v>
      </c>
      <c r="D23" s="101" t="str">
        <f>+VLOOKUP($B23,'Master Data'!$B$20:$W$197,2,FALSE)</f>
        <v>MS Malagi</v>
      </c>
      <c r="E23" s="94">
        <f>+VLOOKUP($B23,'Master Data'!$B:$V,21,FALSE)</f>
        <v>0.28599999999999998</v>
      </c>
      <c r="F23" s="94">
        <f t="shared" si="22"/>
        <v>286</v>
      </c>
      <c r="G23" s="95">
        <v>1</v>
      </c>
      <c r="H23" s="95">
        <f t="shared" si="28"/>
        <v>1</v>
      </c>
      <c r="I23" s="110" t="s">
        <v>441</v>
      </c>
      <c r="J23" s="110" t="s">
        <v>295</v>
      </c>
      <c r="K23" s="110" t="s">
        <v>281</v>
      </c>
      <c r="L23" s="110">
        <v>15</v>
      </c>
      <c r="M23" s="95">
        <f t="shared" si="20"/>
        <v>1000</v>
      </c>
      <c r="N23" s="94">
        <f>+VLOOKUP($I23,'Master Data'!$B:$V,21,FALSE)</f>
        <v>11.94</v>
      </c>
      <c r="O23" s="95">
        <f t="shared" si="23"/>
        <v>11.94</v>
      </c>
      <c r="P23" s="95">
        <f>+'Master Data'!$W$127*$G23</f>
        <v>2.2000000000000002</v>
      </c>
      <c r="Q23" s="95">
        <f>+'Master Data'!$W$111*$G23</f>
        <v>3.0769230769230771</v>
      </c>
      <c r="R23" s="95">
        <v>0</v>
      </c>
      <c r="S23" s="94">
        <f>+VLOOKUP($J23,'Master Data'!$B:$V,21,FALSE)*$H23</f>
        <v>0</v>
      </c>
      <c r="T23" s="94" t="e">
        <f>+VLOOKUP($K23,'Master Data'!$B:$V,21,FALSE)</f>
        <v>#N/A</v>
      </c>
      <c r="U23" s="95">
        <f t="shared" si="25"/>
        <v>45.020999999999994</v>
      </c>
      <c r="V23" s="95" t="e">
        <f t="shared" si="21"/>
        <v>#N/A</v>
      </c>
    </row>
    <row r="24" spans="1:22">
      <c r="A24" s="66">
        <f t="shared" si="24"/>
        <v>22</v>
      </c>
      <c r="B24" s="102" t="s">
        <v>183</v>
      </c>
      <c r="C24" s="104" t="s">
        <v>184</v>
      </c>
      <c r="D24" s="101" t="str">
        <f>+VLOOKUP($B24,'Master Data'!$B$20:$W$197,2,FALSE)</f>
        <v>MS Malagi</v>
      </c>
      <c r="E24" s="94">
        <f>+VLOOKUP($B24,'Master Data'!$B:$V,21,FALSE)</f>
        <v>0.28100000000000003</v>
      </c>
      <c r="F24" s="94">
        <f t="shared" si="22"/>
        <v>281</v>
      </c>
      <c r="G24" s="95">
        <v>1</v>
      </c>
      <c r="H24" s="95">
        <f t="shared" si="28"/>
        <v>1</v>
      </c>
      <c r="I24" s="110" t="s">
        <v>235</v>
      </c>
      <c r="J24" s="110" t="s">
        <v>263</v>
      </c>
      <c r="K24" s="110" t="s">
        <v>236</v>
      </c>
      <c r="L24" s="110">
        <v>15</v>
      </c>
      <c r="M24" s="95">
        <f t="shared" si="20"/>
        <v>1000</v>
      </c>
      <c r="N24" s="94">
        <f>+VLOOKUP($I24,'Master Data'!$B:$V,21,FALSE)</f>
        <v>2.23</v>
      </c>
      <c r="O24" s="95">
        <f t="shared" si="23"/>
        <v>2.23</v>
      </c>
      <c r="P24" s="95">
        <f>+'Master Data'!$W$127*$G24</f>
        <v>2.2000000000000002</v>
      </c>
      <c r="Q24" s="95">
        <f>+'Master Data'!$W$111*$G24</f>
        <v>3.0769230769230771</v>
      </c>
      <c r="R24" s="95">
        <v>0</v>
      </c>
      <c r="S24" s="94">
        <f>+VLOOKUP($J24,'Master Data'!$B:$V,21,FALSE)*$H24</f>
        <v>8.77</v>
      </c>
      <c r="T24" s="94">
        <f>+VLOOKUP($K24,'Master Data'!$B:$V,21,FALSE)</f>
        <v>30</v>
      </c>
      <c r="U24" s="95">
        <f t="shared" si="25"/>
        <v>44.129999999999995</v>
      </c>
      <c r="V24" s="95">
        <f t="shared" si="21"/>
        <v>371.40692307692308</v>
      </c>
    </row>
    <row r="25" spans="1:22">
      <c r="A25" s="66">
        <f t="shared" si="24"/>
        <v>23</v>
      </c>
      <c r="B25" s="102" t="s">
        <v>185</v>
      </c>
      <c r="C25" s="104" t="s">
        <v>186</v>
      </c>
      <c r="D25" s="101" t="str">
        <f>+VLOOKUP($B25,'Master Data'!$B$20:$W$197,2,FALSE)</f>
        <v>MS Malagi</v>
      </c>
      <c r="E25" s="94">
        <f>+VLOOKUP($B25,'Master Data'!$B:$V,21,FALSE)</f>
        <v>0.60099999999999998</v>
      </c>
      <c r="F25" s="94">
        <f t="shared" si="22"/>
        <v>601</v>
      </c>
      <c r="G25" s="95">
        <v>1</v>
      </c>
      <c r="H25" s="95">
        <f t="shared" si="28"/>
        <v>1</v>
      </c>
      <c r="I25" s="110" t="s">
        <v>235</v>
      </c>
      <c r="J25" s="110" t="s">
        <v>263</v>
      </c>
      <c r="K25" s="110" t="s">
        <v>236</v>
      </c>
      <c r="L25" s="110">
        <v>15</v>
      </c>
      <c r="M25" s="95">
        <f t="shared" si="20"/>
        <v>1000</v>
      </c>
      <c r="N25" s="94">
        <f>+VLOOKUP($I25,'Master Data'!$B:$V,21,FALSE)</f>
        <v>2.23</v>
      </c>
      <c r="O25" s="95">
        <f t="shared" si="23"/>
        <v>2.23</v>
      </c>
      <c r="P25" s="95">
        <f>+'Master Data'!$W$127*$G25</f>
        <v>2.2000000000000002</v>
      </c>
      <c r="Q25" s="95">
        <f>+'Master Data'!$W$111*$G25</f>
        <v>3.0769230769230771</v>
      </c>
      <c r="R25" s="95">
        <v>0</v>
      </c>
      <c r="S25" s="94">
        <f>+VLOOKUP($J25,'Master Data'!$B:$V,21,FALSE)*$H25</f>
        <v>8.77</v>
      </c>
      <c r="T25" s="94">
        <f>+VLOOKUP($K25,'Master Data'!$B:$V,21,FALSE)</f>
        <v>30</v>
      </c>
      <c r="U25" s="95">
        <f t="shared" si="25"/>
        <v>92.13000000000001</v>
      </c>
      <c r="V25" s="95">
        <f t="shared" si="21"/>
        <v>739.40692307692314</v>
      </c>
    </row>
    <row r="26" spans="1:22">
      <c r="A26" s="66">
        <f t="shared" si="24"/>
        <v>24</v>
      </c>
      <c r="B26" s="102" t="s">
        <v>187</v>
      </c>
      <c r="C26" s="104" t="s">
        <v>188</v>
      </c>
      <c r="D26" s="101" t="str">
        <f>+VLOOKUP($B26,'Master Data'!$B$20:$W$197,2,FALSE)</f>
        <v>SMR</v>
      </c>
      <c r="E26" s="94">
        <f>+VLOOKUP($B26,'Master Data'!$B:$V,21,FALSE)</f>
        <v>0.217</v>
      </c>
      <c r="F26" s="94">
        <f t="shared" si="22"/>
        <v>217</v>
      </c>
      <c r="G26" s="95">
        <v>1</v>
      </c>
      <c r="H26" s="95">
        <f t="shared" si="28"/>
        <v>1</v>
      </c>
      <c r="I26" s="110" t="s">
        <v>235</v>
      </c>
      <c r="J26" s="110" t="s">
        <v>263</v>
      </c>
      <c r="K26" s="110" t="s">
        <v>236</v>
      </c>
      <c r="L26" s="110">
        <v>15</v>
      </c>
      <c r="M26" s="95">
        <f t="shared" si="20"/>
        <v>1000</v>
      </c>
      <c r="N26" s="94">
        <f>+VLOOKUP($I26,'Master Data'!$B:$V,21,FALSE)</f>
        <v>2.23</v>
      </c>
      <c r="O26" s="95">
        <f t="shared" si="23"/>
        <v>2.23</v>
      </c>
      <c r="P26" s="95">
        <f>+'Master Data'!$W$127*$G26</f>
        <v>2.2000000000000002</v>
      </c>
      <c r="Q26" s="95">
        <f>+'Master Data'!$W$111*$G26</f>
        <v>3.0769230769230771</v>
      </c>
      <c r="R26" s="95">
        <v>0</v>
      </c>
      <c r="S26" s="94">
        <f>+VLOOKUP($J26,'Master Data'!$B:$V,21,FALSE)*$H26</f>
        <v>8.77</v>
      </c>
      <c r="T26" s="94">
        <f>+VLOOKUP($K26,'Master Data'!$B:$V,21,FALSE)</f>
        <v>30</v>
      </c>
      <c r="U26" s="95">
        <f t="shared" si="25"/>
        <v>34.529999999999994</v>
      </c>
      <c r="V26" s="95">
        <f t="shared" si="21"/>
        <v>297.806923076923</v>
      </c>
    </row>
    <row r="27" spans="1:22">
      <c r="A27" s="66">
        <f t="shared" si="24"/>
        <v>25</v>
      </c>
      <c r="B27" s="102" t="s">
        <v>189</v>
      </c>
      <c r="C27" s="104" t="s">
        <v>190</v>
      </c>
      <c r="D27" s="101" t="str">
        <f>+VLOOKUP($B27,'Master Data'!$B$20:$W$197,2,FALSE)</f>
        <v>Na Risa</v>
      </c>
      <c r="E27" s="94">
        <f>+VLOOKUP($B27,'Master Data'!$B:$V,21,FALSE)</f>
        <v>0.44700000000000001</v>
      </c>
      <c r="F27" s="94">
        <f t="shared" si="22"/>
        <v>447</v>
      </c>
      <c r="G27" s="95">
        <v>1</v>
      </c>
      <c r="H27" s="95">
        <f t="shared" si="28"/>
        <v>1</v>
      </c>
      <c r="I27" s="110" t="s">
        <v>235</v>
      </c>
      <c r="J27" s="110" t="s">
        <v>263</v>
      </c>
      <c r="K27" s="110" t="s">
        <v>236</v>
      </c>
      <c r="L27" s="110">
        <v>15</v>
      </c>
      <c r="M27" s="95">
        <f t="shared" si="20"/>
        <v>1000</v>
      </c>
      <c r="N27" s="94">
        <f>+VLOOKUP($I27,'Master Data'!$B:$V,21,FALSE)</f>
        <v>2.23</v>
      </c>
      <c r="O27" s="95">
        <f t="shared" si="23"/>
        <v>2.23</v>
      </c>
      <c r="P27" s="95">
        <f>+'Master Data'!$W$127*$G27</f>
        <v>2.2000000000000002</v>
      </c>
      <c r="Q27" s="95">
        <f>+'Master Data'!$W$111*$G27</f>
        <v>3.0769230769230771</v>
      </c>
      <c r="R27" s="95">
        <v>0</v>
      </c>
      <c r="S27" s="94">
        <f>+VLOOKUP($J27,'Master Data'!$B:$V,21,FALSE)*$H27</f>
        <v>8.77</v>
      </c>
      <c r="T27" s="94">
        <f>+VLOOKUP($K27,'Master Data'!$B:$V,21,FALSE)</f>
        <v>30</v>
      </c>
      <c r="U27" s="95">
        <f t="shared" si="25"/>
        <v>69.03</v>
      </c>
      <c r="V27" s="95">
        <f t="shared" si="21"/>
        <v>562.30692307692311</v>
      </c>
    </row>
    <row r="28" spans="1:22">
      <c r="A28" s="66">
        <f t="shared" si="24"/>
        <v>26</v>
      </c>
      <c r="B28" s="100" t="s">
        <v>19</v>
      </c>
      <c r="C28" s="100" t="s">
        <v>191</v>
      </c>
      <c r="D28" s="101" t="str">
        <f>+VLOOKUP($B28,'Master Data'!$B$20:$W$197,2,FALSE)</f>
        <v>Chandan Enterprise</v>
      </c>
      <c r="E28" s="94">
        <f>+VLOOKUP($B28,'Master Data'!$B:$V,21,FALSE)</f>
        <v>0.53800000000000003</v>
      </c>
      <c r="F28" s="94">
        <f t="shared" si="22"/>
        <v>538</v>
      </c>
      <c r="G28" s="95">
        <v>1</v>
      </c>
      <c r="H28" s="95">
        <f t="shared" si="28"/>
        <v>1</v>
      </c>
      <c r="I28" s="110" t="s">
        <v>235</v>
      </c>
      <c r="J28" s="110" t="s">
        <v>263</v>
      </c>
      <c r="K28" s="110" t="s">
        <v>236</v>
      </c>
      <c r="L28" s="110">
        <v>15</v>
      </c>
      <c r="M28" s="95">
        <f t="shared" si="20"/>
        <v>1000</v>
      </c>
      <c r="N28" s="94">
        <f>+VLOOKUP($I28,'Master Data'!$B:$V,21,FALSE)</f>
        <v>2.23</v>
      </c>
      <c r="O28" s="95">
        <f t="shared" si="23"/>
        <v>2.23</v>
      </c>
      <c r="P28" s="95">
        <f>+'Master Data'!$W$127*$G28</f>
        <v>2.2000000000000002</v>
      </c>
      <c r="Q28" s="95">
        <f>+'Master Data'!$W$111*$G28</f>
        <v>3.0769230769230771</v>
      </c>
      <c r="R28" s="95">
        <v>0</v>
      </c>
      <c r="S28" s="94">
        <f>+VLOOKUP($J28,'Master Data'!$B:$V,21,FALSE)*$H28</f>
        <v>8.77</v>
      </c>
      <c r="T28" s="94">
        <f>+VLOOKUP($K28,'Master Data'!$B:$V,21,FALSE)</f>
        <v>30</v>
      </c>
      <c r="U28" s="95">
        <f t="shared" si="25"/>
        <v>82.68</v>
      </c>
      <c r="V28" s="95">
        <f t="shared" si="21"/>
        <v>666.9569230769232</v>
      </c>
    </row>
    <row r="29" spans="1:22">
      <c r="A29" s="66">
        <f t="shared" si="24"/>
        <v>27</v>
      </c>
      <c r="B29" s="100" t="s">
        <v>75</v>
      </c>
      <c r="C29" s="100" t="s">
        <v>192</v>
      </c>
      <c r="D29" s="101" t="s">
        <v>292</v>
      </c>
      <c r="E29" s="94" t="e">
        <f>+VLOOKUP($B29,#REF!,2,FALSE)/100</f>
        <v>#REF!</v>
      </c>
      <c r="F29" s="94" t="e">
        <f t="shared" si="22"/>
        <v>#REF!</v>
      </c>
      <c r="G29" s="95">
        <v>1</v>
      </c>
      <c r="H29" s="95">
        <f t="shared" si="28"/>
        <v>1</v>
      </c>
      <c r="I29" s="110" t="s">
        <v>235</v>
      </c>
      <c r="J29" s="110" t="s">
        <v>263</v>
      </c>
      <c r="K29" s="110" t="s">
        <v>236</v>
      </c>
      <c r="L29" s="110">
        <v>15</v>
      </c>
      <c r="M29" s="95">
        <f t="shared" si="20"/>
        <v>1000</v>
      </c>
      <c r="N29" s="94">
        <f>+VLOOKUP($I29,'Master Data'!$B:$V,21,FALSE)</f>
        <v>2.23</v>
      </c>
      <c r="O29" s="95">
        <f t="shared" si="23"/>
        <v>2.23</v>
      </c>
      <c r="P29" s="95">
        <f>+'Master Data'!$W$127*$G29</f>
        <v>2.2000000000000002</v>
      </c>
      <c r="Q29" s="95">
        <f>+'Master Data'!$W$111*$G29</f>
        <v>3.0769230769230771</v>
      </c>
      <c r="R29" s="95">
        <v>0</v>
      </c>
      <c r="S29" s="94">
        <f>+VLOOKUP($J29,'Master Data'!$B:$V,21,FALSE)*$H29</f>
        <v>8.77</v>
      </c>
      <c r="T29" s="94">
        <f>+VLOOKUP($K29,'Master Data'!$B:$V,21,FALSE)</f>
        <v>30</v>
      </c>
      <c r="U29" s="95" t="e">
        <f t="shared" si="25"/>
        <v>#REF!</v>
      </c>
      <c r="V29" s="95" t="e">
        <f t="shared" si="21"/>
        <v>#REF!</v>
      </c>
    </row>
    <row r="30" spans="1:22">
      <c r="A30" s="66">
        <f t="shared" si="24"/>
        <v>28</v>
      </c>
      <c r="B30" s="100" t="s">
        <v>76</v>
      </c>
      <c r="C30" s="100" t="s">
        <v>193</v>
      </c>
      <c r="D30" s="101" t="s">
        <v>292</v>
      </c>
      <c r="E30" s="94" t="e">
        <f>+VLOOKUP($B30,#REF!,2,FALSE)/100</f>
        <v>#REF!</v>
      </c>
      <c r="F30" s="94" t="e">
        <f t="shared" si="22"/>
        <v>#REF!</v>
      </c>
      <c r="G30" s="95">
        <v>40</v>
      </c>
      <c r="H30" s="95">
        <f t="shared" si="28"/>
        <v>40</v>
      </c>
      <c r="I30" s="110" t="s">
        <v>260</v>
      </c>
      <c r="J30" s="110" t="s">
        <v>295</v>
      </c>
      <c r="K30" s="110" t="s">
        <v>281</v>
      </c>
      <c r="L30" s="110">
        <v>15</v>
      </c>
      <c r="M30" s="95">
        <f t="shared" si="20"/>
        <v>25</v>
      </c>
      <c r="N30" s="94">
        <f>+VLOOKUP($I30,'Master Data'!$B:$V,21,FALSE)</f>
        <v>3.16</v>
      </c>
      <c r="O30" s="95">
        <f t="shared" si="23"/>
        <v>126.4</v>
      </c>
      <c r="P30" s="95">
        <f>+'Master Data'!$W$127*$G30</f>
        <v>88</v>
      </c>
      <c r="Q30" s="95">
        <f>+'Master Data'!$W$111*$G30</f>
        <v>123.07692307692308</v>
      </c>
      <c r="R30" s="95">
        <v>0</v>
      </c>
      <c r="S30" s="94">
        <f>+VLOOKUP($J30,'Master Data'!$B:$V,21,FALSE)*$H30</f>
        <v>0</v>
      </c>
      <c r="T30" s="94" t="e">
        <f>+VLOOKUP($K30,'Master Data'!$B:$V,21,FALSE)</f>
        <v>#N/A</v>
      </c>
      <c r="U30" s="95" t="e">
        <f t="shared" si="25"/>
        <v>#REF!</v>
      </c>
      <c r="V30" s="95" t="e">
        <f t="shared" si="21"/>
        <v>#REF!</v>
      </c>
    </row>
    <row r="31" spans="1:22">
      <c r="A31" s="66">
        <f t="shared" si="24"/>
        <v>29</v>
      </c>
      <c r="B31" s="100" t="s">
        <v>4</v>
      </c>
      <c r="C31" s="104" t="s">
        <v>194</v>
      </c>
      <c r="D31" s="101" t="s">
        <v>292</v>
      </c>
      <c r="E31" s="94" t="e">
        <f>+VLOOKUP($B31,#REF!,2,FALSE)/100</f>
        <v>#REF!</v>
      </c>
      <c r="F31" s="94" t="e">
        <f t="shared" si="22"/>
        <v>#REF!</v>
      </c>
      <c r="G31" s="95">
        <v>1</v>
      </c>
      <c r="H31" s="95">
        <f t="shared" si="28"/>
        <v>1</v>
      </c>
      <c r="I31" s="110" t="s">
        <v>235</v>
      </c>
      <c r="J31" s="110" t="s">
        <v>263</v>
      </c>
      <c r="K31" s="110" t="s">
        <v>236</v>
      </c>
      <c r="L31" s="110">
        <v>15</v>
      </c>
      <c r="M31" s="95">
        <f t="shared" si="20"/>
        <v>1000</v>
      </c>
      <c r="N31" s="94">
        <f>+VLOOKUP($I31,'Master Data'!$B:$V,21,FALSE)</f>
        <v>2.23</v>
      </c>
      <c r="O31" s="95">
        <f t="shared" si="23"/>
        <v>2.23</v>
      </c>
      <c r="P31" s="95">
        <f>+'Master Data'!$W$127*$G31</f>
        <v>2.2000000000000002</v>
      </c>
      <c r="Q31" s="95">
        <f>+'Master Data'!$W$111*$G31</f>
        <v>3.0769230769230771</v>
      </c>
      <c r="R31" s="95">
        <v>0</v>
      </c>
      <c r="S31" s="94">
        <f>+VLOOKUP($J31,'Master Data'!$B:$V,21,FALSE)*$H31</f>
        <v>8.77</v>
      </c>
      <c r="T31" s="94">
        <f>+VLOOKUP($K31,'Master Data'!$B:$V,21,FALSE)</f>
        <v>30</v>
      </c>
      <c r="U31" s="95" t="e">
        <f t="shared" si="25"/>
        <v>#REF!</v>
      </c>
      <c r="V31" s="95" t="e">
        <f t="shared" si="21"/>
        <v>#REF!</v>
      </c>
    </row>
    <row r="32" spans="1:22">
      <c r="A32" s="66">
        <f t="shared" si="24"/>
        <v>30</v>
      </c>
      <c r="B32" s="100" t="s">
        <v>195</v>
      </c>
      <c r="C32" s="104" t="s">
        <v>196</v>
      </c>
      <c r="D32" s="101" t="s">
        <v>292</v>
      </c>
      <c r="E32" s="94" t="e">
        <f>+VLOOKUP($B32,#REF!,2,FALSE)/100</f>
        <v>#REF!</v>
      </c>
      <c r="F32" s="94" t="e">
        <f t="shared" si="22"/>
        <v>#REF!</v>
      </c>
      <c r="G32" s="95">
        <v>1</v>
      </c>
      <c r="H32" s="95">
        <f t="shared" si="28"/>
        <v>1</v>
      </c>
      <c r="I32" s="110" t="s">
        <v>235</v>
      </c>
      <c r="J32" s="110" t="s">
        <v>263</v>
      </c>
      <c r="K32" s="110" t="s">
        <v>236</v>
      </c>
      <c r="L32" s="110">
        <v>15</v>
      </c>
      <c r="M32" s="95">
        <f t="shared" si="20"/>
        <v>1000</v>
      </c>
      <c r="N32" s="94">
        <f>+VLOOKUP($I32,'Master Data'!$B:$V,21,FALSE)</f>
        <v>2.23</v>
      </c>
      <c r="O32" s="95">
        <f t="shared" si="23"/>
        <v>2.23</v>
      </c>
      <c r="P32" s="95">
        <f>+'Master Data'!$W$127*$G32</f>
        <v>2.2000000000000002</v>
      </c>
      <c r="Q32" s="95">
        <f>+'Master Data'!$W$111*$G32</f>
        <v>3.0769230769230771</v>
      </c>
      <c r="R32" s="95">
        <v>0</v>
      </c>
      <c r="S32" s="94">
        <f>+VLOOKUP($J32,'Master Data'!$B:$V,21,FALSE)*$H32</f>
        <v>8.77</v>
      </c>
      <c r="T32" s="94">
        <f>+VLOOKUP($K32,'Master Data'!$B:$V,21,FALSE)</f>
        <v>30</v>
      </c>
      <c r="U32" s="95" t="e">
        <f t="shared" si="25"/>
        <v>#REF!</v>
      </c>
      <c r="V32" s="95" t="e">
        <f t="shared" si="21"/>
        <v>#REF!</v>
      </c>
    </row>
    <row r="33" spans="1:22">
      <c r="A33" s="66">
        <f t="shared" si="24"/>
        <v>31</v>
      </c>
      <c r="B33" s="100" t="s">
        <v>197</v>
      </c>
      <c r="C33" s="104" t="s">
        <v>198</v>
      </c>
      <c r="D33" s="101" t="s">
        <v>292</v>
      </c>
      <c r="E33" s="94" t="e">
        <f>+VLOOKUP($B33,#REF!,2,FALSE)/100</f>
        <v>#REF!</v>
      </c>
      <c r="F33" s="94" t="e">
        <f t="shared" si="22"/>
        <v>#REF!</v>
      </c>
      <c r="G33" s="95">
        <v>1</v>
      </c>
      <c r="H33" s="95">
        <f t="shared" si="28"/>
        <v>1</v>
      </c>
      <c r="I33" s="110" t="s">
        <v>235</v>
      </c>
      <c r="J33" s="110" t="s">
        <v>263</v>
      </c>
      <c r="K33" s="110" t="s">
        <v>236</v>
      </c>
      <c r="L33" s="110">
        <v>15</v>
      </c>
      <c r="M33" s="95">
        <f t="shared" si="20"/>
        <v>1000</v>
      </c>
      <c r="N33" s="94">
        <f>+VLOOKUP($I33,'Master Data'!$B:$V,21,FALSE)</f>
        <v>2.23</v>
      </c>
      <c r="O33" s="95">
        <f t="shared" si="23"/>
        <v>2.23</v>
      </c>
      <c r="P33" s="95">
        <f>+'Master Data'!$W$127*$G33</f>
        <v>2.2000000000000002</v>
      </c>
      <c r="Q33" s="95">
        <f>+'Master Data'!$W$111*$G33</f>
        <v>3.0769230769230771</v>
      </c>
      <c r="R33" s="95">
        <v>0</v>
      </c>
      <c r="S33" s="94">
        <f>+VLOOKUP($J33,'Master Data'!$B:$V,21,FALSE)*$H33</f>
        <v>8.77</v>
      </c>
      <c r="T33" s="94">
        <f>+VLOOKUP($K33,'Master Data'!$B:$V,21,FALSE)</f>
        <v>30</v>
      </c>
      <c r="U33" s="95" t="e">
        <f t="shared" si="25"/>
        <v>#REF!</v>
      </c>
      <c r="V33" s="95" t="e">
        <f t="shared" si="21"/>
        <v>#REF!</v>
      </c>
    </row>
    <row r="34" spans="1:22">
      <c r="A34" s="66">
        <f t="shared" si="24"/>
        <v>32</v>
      </c>
      <c r="B34" s="100" t="s">
        <v>199</v>
      </c>
      <c r="C34" s="104" t="s">
        <v>200</v>
      </c>
      <c r="D34" s="101" t="s">
        <v>292</v>
      </c>
      <c r="E34" s="94" t="e">
        <f>+VLOOKUP($B34,#REF!,2,FALSE)/100</f>
        <v>#REF!</v>
      </c>
      <c r="F34" s="94" t="e">
        <f t="shared" si="22"/>
        <v>#REF!</v>
      </c>
      <c r="G34" s="95">
        <v>1</v>
      </c>
      <c r="H34" s="95">
        <f t="shared" si="28"/>
        <v>1</v>
      </c>
      <c r="I34" s="110" t="s">
        <v>235</v>
      </c>
      <c r="J34" s="110" t="s">
        <v>263</v>
      </c>
      <c r="K34" s="110" t="s">
        <v>236</v>
      </c>
      <c r="L34" s="110">
        <v>15</v>
      </c>
      <c r="M34" s="95">
        <f t="shared" si="20"/>
        <v>1000</v>
      </c>
      <c r="N34" s="94">
        <f>+VLOOKUP($I34,'Master Data'!$B:$V,21,FALSE)</f>
        <v>2.23</v>
      </c>
      <c r="O34" s="95">
        <f t="shared" si="23"/>
        <v>2.23</v>
      </c>
      <c r="P34" s="95">
        <f>+'Master Data'!$W$127*$G34</f>
        <v>2.2000000000000002</v>
      </c>
      <c r="Q34" s="95">
        <f>+'Master Data'!$W$111*$G34</f>
        <v>3.0769230769230771</v>
      </c>
      <c r="R34" s="95">
        <v>0</v>
      </c>
      <c r="S34" s="94">
        <f>+VLOOKUP($J34,'Master Data'!$B:$V,21,FALSE)*$H34</f>
        <v>8.77</v>
      </c>
      <c r="T34" s="94">
        <f>+VLOOKUP($K34,'Master Data'!$B:$V,21,FALSE)</f>
        <v>30</v>
      </c>
      <c r="U34" s="95" t="e">
        <f t="shared" si="25"/>
        <v>#REF!</v>
      </c>
      <c r="V34" s="95" t="e">
        <f t="shared" si="21"/>
        <v>#REF!</v>
      </c>
    </row>
    <row r="35" spans="1:22">
      <c r="A35" s="66">
        <f t="shared" si="24"/>
        <v>33</v>
      </c>
      <c r="B35" s="100" t="s">
        <v>6</v>
      </c>
      <c r="C35" s="104" t="s">
        <v>201</v>
      </c>
      <c r="D35" s="101" t="s">
        <v>292</v>
      </c>
      <c r="E35" s="94" t="e">
        <f>+VLOOKUP($B35,#REF!,2,FALSE)/100</f>
        <v>#REF!</v>
      </c>
      <c r="F35" s="94" t="e">
        <f t="shared" si="22"/>
        <v>#REF!</v>
      </c>
      <c r="G35" s="95">
        <v>1</v>
      </c>
      <c r="H35" s="95">
        <f t="shared" si="28"/>
        <v>1</v>
      </c>
      <c r="I35" s="110" t="s">
        <v>235</v>
      </c>
      <c r="J35" s="110" t="s">
        <v>263</v>
      </c>
      <c r="K35" s="110" t="s">
        <v>236</v>
      </c>
      <c r="L35" s="110">
        <v>15</v>
      </c>
      <c r="M35" s="95">
        <f t="shared" ref="M35:M54" si="29">1000/G35</f>
        <v>1000</v>
      </c>
      <c r="N35" s="94">
        <f>+VLOOKUP($I35,'Master Data'!$B:$V,21,FALSE)</f>
        <v>2.23</v>
      </c>
      <c r="O35" s="95">
        <f t="shared" si="23"/>
        <v>2.23</v>
      </c>
      <c r="P35" s="95">
        <f>+'Master Data'!$W$127*$G35</f>
        <v>2.2000000000000002</v>
      </c>
      <c r="Q35" s="95">
        <f>+'Master Data'!$W$111*$G35</f>
        <v>3.0769230769230771</v>
      </c>
      <c r="R35" s="95">
        <v>0</v>
      </c>
      <c r="S35" s="94">
        <f>+VLOOKUP($J35,'Master Data'!$B:$V,21,FALSE)*$H35</f>
        <v>8.77</v>
      </c>
      <c r="T35" s="94">
        <f>+VLOOKUP($K35,'Master Data'!$B:$V,21,FALSE)</f>
        <v>30</v>
      </c>
      <c r="U35" s="95" t="e">
        <f t="shared" si="25"/>
        <v>#REF!</v>
      </c>
      <c r="V35" s="95" t="e">
        <f t="shared" ref="V35:V54" si="30">+$F35+$O35+$P35+$Q35+$R35+$S35+$T35+$U35</f>
        <v>#REF!</v>
      </c>
    </row>
    <row r="36" spans="1:22">
      <c r="A36" s="66">
        <f t="shared" si="24"/>
        <v>34</v>
      </c>
      <c r="B36" s="100" t="s">
        <v>20</v>
      </c>
      <c r="C36" s="104" t="s">
        <v>202</v>
      </c>
      <c r="D36" s="101" t="s">
        <v>292</v>
      </c>
      <c r="E36" s="94" t="e">
        <f>+VLOOKUP($B36,#REF!,2,FALSE)/100</f>
        <v>#REF!</v>
      </c>
      <c r="F36" s="94" t="e">
        <f t="shared" si="22"/>
        <v>#REF!</v>
      </c>
      <c r="G36" s="95">
        <v>1</v>
      </c>
      <c r="H36" s="95">
        <f t="shared" si="28"/>
        <v>1</v>
      </c>
      <c r="I36" s="110" t="s">
        <v>235</v>
      </c>
      <c r="J36" s="110" t="s">
        <v>263</v>
      </c>
      <c r="K36" s="110" t="s">
        <v>236</v>
      </c>
      <c r="L36" s="110">
        <v>15</v>
      </c>
      <c r="M36" s="95">
        <f t="shared" si="29"/>
        <v>1000</v>
      </c>
      <c r="N36" s="94">
        <f>+VLOOKUP($I36,'Master Data'!$B:$V,21,FALSE)</f>
        <v>2.23</v>
      </c>
      <c r="O36" s="95">
        <f t="shared" ref="O36:O54" si="31">+N36*G36</f>
        <v>2.23</v>
      </c>
      <c r="P36" s="95">
        <f>+'Master Data'!$W$127*$G36</f>
        <v>2.2000000000000002</v>
      </c>
      <c r="Q36" s="95">
        <f>+'Master Data'!$W$111*$G36</f>
        <v>3.0769230769230771</v>
      </c>
      <c r="R36" s="95">
        <v>0</v>
      </c>
      <c r="S36" s="94">
        <f>+VLOOKUP($J36,'Master Data'!$B:$V,21,FALSE)*$H36</f>
        <v>8.77</v>
      </c>
      <c r="T36" s="94">
        <f>+VLOOKUP($K36,'Master Data'!$B:$V,21,FALSE)</f>
        <v>30</v>
      </c>
      <c r="U36" s="95" t="e">
        <f t="shared" ref="U36:U54" si="32">+($F36+$O36+$P36+$S36)*0.15</f>
        <v>#REF!</v>
      </c>
      <c r="V36" s="95" t="e">
        <f t="shared" si="30"/>
        <v>#REF!</v>
      </c>
    </row>
    <row r="37" spans="1:22">
      <c r="A37" s="66">
        <f t="shared" si="24"/>
        <v>35</v>
      </c>
      <c r="B37" s="100" t="s">
        <v>7</v>
      </c>
      <c r="C37" s="104" t="s">
        <v>203</v>
      </c>
      <c r="D37" s="101" t="s">
        <v>292</v>
      </c>
      <c r="E37" s="94" t="e">
        <f>+VLOOKUP($B37,#REF!,2,FALSE)/100</f>
        <v>#REF!</v>
      </c>
      <c r="F37" s="94" t="e">
        <f t="shared" si="22"/>
        <v>#REF!</v>
      </c>
      <c r="G37" s="95">
        <v>1</v>
      </c>
      <c r="H37" s="95">
        <f t="shared" si="28"/>
        <v>1</v>
      </c>
      <c r="I37" s="110" t="s">
        <v>261</v>
      </c>
      <c r="J37" s="110" t="s">
        <v>263</v>
      </c>
      <c r="K37" s="110" t="s">
        <v>236</v>
      </c>
      <c r="L37" s="110">
        <v>15</v>
      </c>
      <c r="M37" s="95">
        <f t="shared" si="29"/>
        <v>1000</v>
      </c>
      <c r="N37" s="94">
        <f>+VLOOKUP($I37,'Master Data'!$B:$V,21,FALSE)</f>
        <v>1.85</v>
      </c>
      <c r="O37" s="95">
        <f t="shared" si="31"/>
        <v>1.85</v>
      </c>
      <c r="P37" s="95">
        <f>+'Master Data'!$W$127*$G37</f>
        <v>2.2000000000000002</v>
      </c>
      <c r="Q37" s="95">
        <f>+'Master Data'!$W$111*$G37</f>
        <v>3.0769230769230771</v>
      </c>
      <c r="R37" s="95">
        <v>0</v>
      </c>
      <c r="S37" s="94">
        <f>+VLOOKUP($J37,'Master Data'!$B:$V,21,FALSE)*$H37</f>
        <v>8.77</v>
      </c>
      <c r="T37" s="94">
        <f>+VLOOKUP($K37,'Master Data'!$B:$V,21,FALSE)</f>
        <v>30</v>
      </c>
      <c r="U37" s="95" t="e">
        <f t="shared" si="32"/>
        <v>#REF!</v>
      </c>
      <c r="V37" s="95" t="e">
        <f t="shared" si="30"/>
        <v>#REF!</v>
      </c>
    </row>
    <row r="38" spans="1:22">
      <c r="A38" s="66">
        <f t="shared" si="24"/>
        <v>36</v>
      </c>
      <c r="B38" s="102" t="s">
        <v>204</v>
      </c>
      <c r="C38" s="104" t="s">
        <v>205</v>
      </c>
      <c r="D38" s="101" t="str">
        <f>+VLOOKUP($B38,'Master Data'!$B$20:$W$197,2,FALSE)</f>
        <v>True Ventures</v>
      </c>
      <c r="E38" s="94">
        <f>+VLOOKUP($B38,'Master Data'!$B:$V,21,FALSE)</f>
        <v>183.5</v>
      </c>
      <c r="F38" s="94">
        <f t="shared" si="22"/>
        <v>183500</v>
      </c>
      <c r="G38" s="95">
        <v>1</v>
      </c>
      <c r="H38" s="95">
        <f t="shared" si="28"/>
        <v>1</v>
      </c>
      <c r="I38" s="110" t="s">
        <v>261</v>
      </c>
      <c r="J38" s="110" t="s">
        <v>263</v>
      </c>
      <c r="K38" s="110" t="s">
        <v>237</v>
      </c>
      <c r="L38" s="110">
        <v>15</v>
      </c>
      <c r="M38" s="95">
        <f t="shared" si="29"/>
        <v>1000</v>
      </c>
      <c r="N38" s="94">
        <f>+VLOOKUP($I38,'Master Data'!$B:$V,21,FALSE)</f>
        <v>1.85</v>
      </c>
      <c r="O38" s="95">
        <f t="shared" si="31"/>
        <v>1.85</v>
      </c>
      <c r="P38" s="95">
        <f>+'Master Data'!$W$127*$G38</f>
        <v>2.2000000000000002</v>
      </c>
      <c r="Q38" s="95">
        <f>+'Master Data'!$W$111*$G38</f>
        <v>3.0769230769230771</v>
      </c>
      <c r="R38" s="95">
        <v>0</v>
      </c>
      <c r="S38" s="94">
        <f>+VLOOKUP($J38,'Master Data'!$B:$V,21,FALSE)*$H38</f>
        <v>8.77</v>
      </c>
      <c r="T38" s="94">
        <f>+VLOOKUP($K38,'Master Data'!$B:$V,21,FALSE)</f>
        <v>54</v>
      </c>
      <c r="U38" s="95">
        <f t="shared" si="32"/>
        <v>27526.922999999999</v>
      </c>
      <c r="V38" s="95">
        <f t="shared" si="30"/>
        <v>211096.81992307695</v>
      </c>
    </row>
    <row r="39" spans="1:22">
      <c r="A39" s="66">
        <f t="shared" si="24"/>
        <v>37</v>
      </c>
      <c r="B39" s="100" t="s">
        <v>206</v>
      </c>
      <c r="C39" s="104" t="s">
        <v>207</v>
      </c>
      <c r="D39" s="101" t="s">
        <v>292</v>
      </c>
      <c r="E39" s="94" t="e">
        <f>+VLOOKUP($B39,#REF!,2,FALSE)/100</f>
        <v>#REF!</v>
      </c>
      <c r="F39" s="94" t="e">
        <f t="shared" si="22"/>
        <v>#REF!</v>
      </c>
      <c r="G39" s="95">
        <v>1</v>
      </c>
      <c r="H39" s="95">
        <f t="shared" si="28"/>
        <v>1</v>
      </c>
      <c r="I39" s="110" t="s">
        <v>261</v>
      </c>
      <c r="J39" s="110" t="s">
        <v>263</v>
      </c>
      <c r="K39" s="110" t="s">
        <v>236</v>
      </c>
      <c r="L39" s="110">
        <v>15</v>
      </c>
      <c r="M39" s="95">
        <f t="shared" si="29"/>
        <v>1000</v>
      </c>
      <c r="N39" s="94">
        <f>+VLOOKUP($I39,'Master Data'!$B:$V,21,FALSE)</f>
        <v>1.85</v>
      </c>
      <c r="O39" s="95">
        <f t="shared" si="31"/>
        <v>1.85</v>
      </c>
      <c r="P39" s="95">
        <f>+'Master Data'!$W$127*$G39</f>
        <v>2.2000000000000002</v>
      </c>
      <c r="Q39" s="95">
        <f>+'Master Data'!$W$111*$G39</f>
        <v>3.0769230769230771</v>
      </c>
      <c r="R39" s="95">
        <v>0</v>
      </c>
      <c r="S39" s="94">
        <f>+VLOOKUP($J39,'Master Data'!$B:$V,21,FALSE)*$H39</f>
        <v>8.77</v>
      </c>
      <c r="T39" s="94">
        <f>+VLOOKUP($K39,'Master Data'!$B:$V,21,FALSE)</f>
        <v>30</v>
      </c>
      <c r="U39" s="95" t="e">
        <f t="shared" si="32"/>
        <v>#REF!</v>
      </c>
      <c r="V39" s="95" t="e">
        <f t="shared" si="30"/>
        <v>#REF!</v>
      </c>
    </row>
    <row r="40" spans="1:22">
      <c r="A40" s="66">
        <f t="shared" si="24"/>
        <v>38</v>
      </c>
      <c r="B40" s="100" t="s">
        <v>208</v>
      </c>
      <c r="C40" s="103" t="s">
        <v>209</v>
      </c>
      <c r="D40" s="101" t="s">
        <v>292</v>
      </c>
      <c r="E40" s="94" t="e">
        <f>+VLOOKUP($B40,#REF!,2,FALSE)/100</f>
        <v>#REF!</v>
      </c>
      <c r="F40" s="94" t="e">
        <f t="shared" si="22"/>
        <v>#REF!</v>
      </c>
      <c r="G40" s="95">
        <v>1</v>
      </c>
      <c r="H40" s="95">
        <f t="shared" si="28"/>
        <v>1</v>
      </c>
      <c r="I40" s="110" t="s">
        <v>261</v>
      </c>
      <c r="J40" s="110" t="s">
        <v>263</v>
      </c>
      <c r="K40" s="110" t="s">
        <v>236</v>
      </c>
      <c r="L40" s="110">
        <v>15</v>
      </c>
      <c r="M40" s="95">
        <f t="shared" si="29"/>
        <v>1000</v>
      </c>
      <c r="N40" s="94">
        <f>+VLOOKUP($I40,'Master Data'!$B:$V,21,FALSE)</f>
        <v>1.85</v>
      </c>
      <c r="O40" s="95">
        <f t="shared" si="31"/>
        <v>1.85</v>
      </c>
      <c r="P40" s="95">
        <f>+'Master Data'!$W$127*$G40</f>
        <v>2.2000000000000002</v>
      </c>
      <c r="Q40" s="95">
        <f>+'Master Data'!$W$111*$G40</f>
        <v>3.0769230769230771</v>
      </c>
      <c r="R40" s="95">
        <v>0</v>
      </c>
      <c r="S40" s="94">
        <f>+VLOOKUP($J40,'Master Data'!$B:$V,21,FALSE)*$H40</f>
        <v>8.77</v>
      </c>
      <c r="T40" s="94">
        <f>+VLOOKUP($K40,'Master Data'!$B:$V,21,FALSE)</f>
        <v>30</v>
      </c>
      <c r="U40" s="95" t="e">
        <f t="shared" si="32"/>
        <v>#REF!</v>
      </c>
      <c r="V40" s="95" t="e">
        <f t="shared" si="30"/>
        <v>#REF!</v>
      </c>
    </row>
    <row r="41" spans="1:22">
      <c r="A41" s="66">
        <f t="shared" si="24"/>
        <v>39</v>
      </c>
      <c r="B41" s="100" t="s">
        <v>210</v>
      </c>
      <c r="C41" s="104" t="s">
        <v>211</v>
      </c>
      <c r="D41" s="101" t="s">
        <v>292</v>
      </c>
      <c r="E41" s="94" t="e">
        <f>+VLOOKUP($B41,#REF!,2,FALSE)/100</f>
        <v>#REF!</v>
      </c>
      <c r="F41" s="94" t="e">
        <f t="shared" si="22"/>
        <v>#REF!</v>
      </c>
      <c r="G41" s="95">
        <v>1</v>
      </c>
      <c r="H41" s="95">
        <f t="shared" si="28"/>
        <v>1</v>
      </c>
      <c r="I41" s="110" t="s">
        <v>261</v>
      </c>
      <c r="J41" s="110" t="s">
        <v>263</v>
      </c>
      <c r="K41" s="110" t="s">
        <v>236</v>
      </c>
      <c r="L41" s="110">
        <v>15</v>
      </c>
      <c r="M41" s="95">
        <f t="shared" si="29"/>
        <v>1000</v>
      </c>
      <c r="N41" s="94">
        <f>+VLOOKUP($I41,'Master Data'!$B:$V,21,FALSE)</f>
        <v>1.85</v>
      </c>
      <c r="O41" s="95">
        <f t="shared" si="31"/>
        <v>1.85</v>
      </c>
      <c r="P41" s="95">
        <f>+'Master Data'!$W$127*$G41</f>
        <v>2.2000000000000002</v>
      </c>
      <c r="Q41" s="95">
        <f>+'Master Data'!$W$111*$G41</f>
        <v>3.0769230769230771</v>
      </c>
      <c r="R41" s="95">
        <v>0</v>
      </c>
      <c r="S41" s="94">
        <f>+VLOOKUP($J41,'Master Data'!$B:$V,21,FALSE)*$H41</f>
        <v>8.77</v>
      </c>
      <c r="T41" s="94">
        <f>+VLOOKUP($K41,'Master Data'!$B:$V,21,FALSE)</f>
        <v>30</v>
      </c>
      <c r="U41" s="95" t="e">
        <f t="shared" si="32"/>
        <v>#REF!</v>
      </c>
      <c r="V41" s="95" t="e">
        <f t="shared" si="30"/>
        <v>#REF!</v>
      </c>
    </row>
    <row r="42" spans="1:22">
      <c r="A42" s="66">
        <f t="shared" si="24"/>
        <v>40</v>
      </c>
      <c r="B42" s="100" t="s">
        <v>212</v>
      </c>
      <c r="C42" s="104" t="s">
        <v>213</v>
      </c>
      <c r="D42" s="101" t="s">
        <v>292</v>
      </c>
      <c r="E42" s="94" t="e">
        <f>+VLOOKUP($B42,#REF!,2,FALSE)/100</f>
        <v>#REF!</v>
      </c>
      <c r="F42" s="94" t="e">
        <f t="shared" si="22"/>
        <v>#REF!</v>
      </c>
      <c r="G42" s="95">
        <v>1</v>
      </c>
      <c r="H42" s="95">
        <f t="shared" si="28"/>
        <v>1</v>
      </c>
      <c r="I42" s="110" t="s">
        <v>261</v>
      </c>
      <c r="J42" s="110" t="s">
        <v>263</v>
      </c>
      <c r="K42" s="110" t="s">
        <v>236</v>
      </c>
      <c r="L42" s="110">
        <v>15</v>
      </c>
      <c r="M42" s="95">
        <f t="shared" si="29"/>
        <v>1000</v>
      </c>
      <c r="N42" s="94">
        <f>+VLOOKUP($I42,'Master Data'!$B:$V,21,FALSE)</f>
        <v>1.85</v>
      </c>
      <c r="O42" s="95">
        <f t="shared" si="31"/>
        <v>1.85</v>
      </c>
      <c r="P42" s="95">
        <f>+'Master Data'!$W$127*$G42</f>
        <v>2.2000000000000002</v>
      </c>
      <c r="Q42" s="95">
        <f>+'Master Data'!$W$111*$G42</f>
        <v>3.0769230769230771</v>
      </c>
      <c r="R42" s="95">
        <v>0</v>
      </c>
      <c r="S42" s="94">
        <f>+VLOOKUP($J42,'Master Data'!$B:$V,21,FALSE)*$H42</f>
        <v>8.77</v>
      </c>
      <c r="T42" s="94">
        <f>+VLOOKUP($K42,'Master Data'!$B:$V,21,FALSE)</f>
        <v>30</v>
      </c>
      <c r="U42" s="95" t="e">
        <f t="shared" si="32"/>
        <v>#REF!</v>
      </c>
      <c r="V42" s="95" t="e">
        <f t="shared" si="30"/>
        <v>#REF!</v>
      </c>
    </row>
    <row r="43" spans="1:22">
      <c r="A43" s="66">
        <f t="shared" si="24"/>
        <v>41</v>
      </c>
      <c r="B43" s="100" t="s">
        <v>214</v>
      </c>
      <c r="C43" s="104" t="s">
        <v>215</v>
      </c>
      <c r="D43" s="101" t="s">
        <v>292</v>
      </c>
      <c r="E43" s="94" t="e">
        <f>+VLOOKUP($B43,#REF!,2,FALSE)/100</f>
        <v>#REF!</v>
      </c>
      <c r="F43" s="94" t="e">
        <f t="shared" si="22"/>
        <v>#REF!</v>
      </c>
      <c r="G43" s="95">
        <v>1</v>
      </c>
      <c r="H43" s="95">
        <f t="shared" si="28"/>
        <v>1</v>
      </c>
      <c r="I43" s="110" t="s">
        <v>235</v>
      </c>
      <c r="J43" s="110" t="s">
        <v>263</v>
      </c>
      <c r="K43" s="110" t="s">
        <v>236</v>
      </c>
      <c r="L43" s="110">
        <v>15</v>
      </c>
      <c r="M43" s="95">
        <f t="shared" si="29"/>
        <v>1000</v>
      </c>
      <c r="N43" s="94">
        <f>+VLOOKUP($I43,'Master Data'!$B:$V,21,FALSE)</f>
        <v>2.23</v>
      </c>
      <c r="O43" s="95">
        <f t="shared" si="31"/>
        <v>2.23</v>
      </c>
      <c r="P43" s="95">
        <f>+'Master Data'!$W$127*$G43</f>
        <v>2.2000000000000002</v>
      </c>
      <c r="Q43" s="95">
        <f>+'Master Data'!$W$111*$G43</f>
        <v>3.0769230769230771</v>
      </c>
      <c r="R43" s="95">
        <v>0</v>
      </c>
      <c r="S43" s="94">
        <f>+VLOOKUP($J43,'Master Data'!$B:$V,21,FALSE)*$H43</f>
        <v>8.77</v>
      </c>
      <c r="T43" s="94">
        <f>+VLOOKUP($K43,'Master Data'!$B:$V,21,FALSE)</f>
        <v>30</v>
      </c>
      <c r="U43" s="95" t="e">
        <f t="shared" si="32"/>
        <v>#REF!</v>
      </c>
      <c r="V43" s="95" t="e">
        <f t="shared" si="30"/>
        <v>#REF!</v>
      </c>
    </row>
    <row r="44" spans="1:22">
      <c r="A44" s="66">
        <f t="shared" si="24"/>
        <v>42</v>
      </c>
      <c r="B44" s="100" t="s">
        <v>18</v>
      </c>
      <c r="C44" s="107" t="s">
        <v>216</v>
      </c>
      <c r="D44" s="101" t="s">
        <v>292</v>
      </c>
      <c r="E44" s="94" t="e">
        <f>+VLOOKUP($B44,#REF!,2,FALSE)/100</f>
        <v>#REF!</v>
      </c>
      <c r="F44" s="94" t="e">
        <f t="shared" si="22"/>
        <v>#REF!</v>
      </c>
      <c r="G44" s="95">
        <v>1</v>
      </c>
      <c r="H44" s="95">
        <f t="shared" si="28"/>
        <v>1</v>
      </c>
      <c r="I44" s="110" t="s">
        <v>235</v>
      </c>
      <c r="J44" s="110" t="s">
        <v>263</v>
      </c>
      <c r="K44" s="110" t="s">
        <v>236</v>
      </c>
      <c r="L44" s="110">
        <v>15</v>
      </c>
      <c r="M44" s="95">
        <f t="shared" si="29"/>
        <v>1000</v>
      </c>
      <c r="N44" s="94">
        <f>+VLOOKUP($I44,'Master Data'!$B:$V,21,FALSE)</f>
        <v>2.23</v>
      </c>
      <c r="O44" s="95">
        <f t="shared" si="31"/>
        <v>2.23</v>
      </c>
      <c r="P44" s="95">
        <f>+'Master Data'!$W$127*$G44</f>
        <v>2.2000000000000002</v>
      </c>
      <c r="Q44" s="95">
        <f>+'Master Data'!$W$111*$G44</f>
        <v>3.0769230769230771</v>
      </c>
      <c r="R44" s="95">
        <v>0</v>
      </c>
      <c r="S44" s="94">
        <f>+VLOOKUP($J44,'Master Data'!$B:$V,21,FALSE)*$H44</f>
        <v>8.77</v>
      </c>
      <c r="T44" s="94">
        <f>+VLOOKUP($K44,'Master Data'!$B:$V,21,FALSE)</f>
        <v>30</v>
      </c>
      <c r="U44" s="95" t="e">
        <f t="shared" si="32"/>
        <v>#REF!</v>
      </c>
      <c r="V44" s="95" t="e">
        <f t="shared" si="30"/>
        <v>#REF!</v>
      </c>
    </row>
    <row r="45" spans="1:22">
      <c r="A45" s="66">
        <f t="shared" si="24"/>
        <v>43</v>
      </c>
      <c r="B45" s="100" t="s">
        <v>217</v>
      </c>
      <c r="C45" s="104" t="s">
        <v>218</v>
      </c>
      <c r="D45" s="101"/>
      <c r="E45" s="94">
        <f>+VLOOKUP($B45,'Master Data'!$B:$V,21,FALSE)</f>
        <v>0.32200000000000001</v>
      </c>
      <c r="F45" s="94">
        <f t="shared" si="22"/>
        <v>322</v>
      </c>
      <c r="G45" s="95">
        <v>1</v>
      </c>
      <c r="H45" s="95">
        <f t="shared" si="28"/>
        <v>1</v>
      </c>
      <c r="I45" s="110" t="s">
        <v>441</v>
      </c>
      <c r="J45" s="110" t="s">
        <v>263</v>
      </c>
      <c r="K45" s="110" t="s">
        <v>236</v>
      </c>
      <c r="L45" s="110">
        <v>15</v>
      </c>
      <c r="M45" s="95">
        <f t="shared" si="29"/>
        <v>1000</v>
      </c>
      <c r="N45" s="94">
        <f>+VLOOKUP($I45,'Master Data'!$B:$V,21,FALSE)</f>
        <v>11.94</v>
      </c>
      <c r="O45" s="95">
        <f t="shared" si="31"/>
        <v>11.94</v>
      </c>
      <c r="P45" s="95">
        <f>+'Master Data'!$W$127*$G45</f>
        <v>2.2000000000000002</v>
      </c>
      <c r="Q45" s="95">
        <f>+'Master Data'!$W$111*$G45</f>
        <v>3.0769230769230771</v>
      </c>
      <c r="R45" s="95">
        <v>0</v>
      </c>
      <c r="S45" s="94">
        <f>+VLOOKUP($J45,'Master Data'!$B:$V,21,FALSE)*$H45</f>
        <v>8.77</v>
      </c>
      <c r="T45" s="94">
        <f>+VLOOKUP($K45,'Master Data'!$B:$V,21,FALSE)</f>
        <v>30</v>
      </c>
      <c r="U45" s="95">
        <f t="shared" si="32"/>
        <v>51.736499999999992</v>
      </c>
      <c r="V45" s="95">
        <f t="shared" si="30"/>
        <v>429.72342307692304</v>
      </c>
    </row>
    <row r="46" spans="1:22">
      <c r="A46" s="66">
        <f t="shared" si="24"/>
        <v>44</v>
      </c>
      <c r="B46" s="100" t="s">
        <v>270</v>
      </c>
      <c r="C46" s="104" t="s">
        <v>271</v>
      </c>
      <c r="D46" s="101" t="str">
        <f>+VLOOKUP($B46,'Master Data'!$B$20:$W$197,2,FALSE)</f>
        <v>Amazon</v>
      </c>
      <c r="E46" s="94">
        <f>+VLOOKUP($B46,'Master Data'!$B:$V,21,FALSE)</f>
        <v>1.07</v>
      </c>
      <c r="F46" s="94">
        <f t="shared" si="22"/>
        <v>1070</v>
      </c>
      <c r="G46" s="95">
        <v>1</v>
      </c>
      <c r="H46" s="95">
        <f>+IF($G46=0.5,1,IF($G46=1,2,$G46))</f>
        <v>2</v>
      </c>
      <c r="I46" s="110" t="s">
        <v>441</v>
      </c>
      <c r="J46" s="110" t="s">
        <v>263</v>
      </c>
      <c r="K46" s="110" t="s">
        <v>236</v>
      </c>
      <c r="L46" s="110">
        <v>15</v>
      </c>
      <c r="M46" s="95">
        <f t="shared" si="29"/>
        <v>1000</v>
      </c>
      <c r="N46" s="94">
        <f>+VLOOKUP($I46,'Master Data'!$B:$V,21,FALSE)</f>
        <v>11.94</v>
      </c>
      <c r="O46" s="95">
        <f t="shared" si="31"/>
        <v>11.94</v>
      </c>
      <c r="P46" s="95">
        <f>+'Master Data'!$W$127*$G46</f>
        <v>2.2000000000000002</v>
      </c>
      <c r="Q46" s="95">
        <f>+'Master Data'!$W$111*$G46</f>
        <v>3.0769230769230771</v>
      </c>
      <c r="R46" s="95">
        <v>0</v>
      </c>
      <c r="S46" s="94">
        <f>+VLOOKUP($J46,'Master Data'!$B:$V,21,FALSE)*$H46</f>
        <v>17.54</v>
      </c>
      <c r="T46" s="94">
        <f>+VLOOKUP($K46,'Master Data'!$B:$V,21,FALSE)</f>
        <v>30</v>
      </c>
      <c r="U46" s="95">
        <f t="shared" si="32"/>
        <v>165.25200000000001</v>
      </c>
      <c r="V46" s="95">
        <f t="shared" si="30"/>
        <v>1300.0089230769231</v>
      </c>
    </row>
    <row r="47" spans="1:22">
      <c r="A47" s="66">
        <f t="shared" si="24"/>
        <v>45</v>
      </c>
      <c r="B47" s="100" t="s">
        <v>272</v>
      </c>
      <c r="C47" s="104" t="s">
        <v>273</v>
      </c>
      <c r="D47" s="101" t="str">
        <f>+VLOOKUP($B47,'Master Data'!$B$20:$W$197,2,FALSE)</f>
        <v>Chandan Enterprise</v>
      </c>
      <c r="E47" s="94">
        <f>+VLOOKUP($B47,'Master Data'!$B:$V,21,FALSE)</f>
        <v>1.4135238095238094</v>
      </c>
      <c r="F47" s="94">
        <f t="shared" si="22"/>
        <v>1413.5238095238094</v>
      </c>
      <c r="G47" s="95">
        <v>1</v>
      </c>
      <c r="H47" s="95">
        <f t="shared" ref="H47:H48" si="33">+IF($G47=0.5,1,IF($G47=1,1,$G47))</f>
        <v>1</v>
      </c>
      <c r="I47" s="110" t="s">
        <v>441</v>
      </c>
      <c r="J47" s="110" t="s">
        <v>263</v>
      </c>
      <c r="K47" s="110" t="s">
        <v>236</v>
      </c>
      <c r="L47" s="110">
        <v>15</v>
      </c>
      <c r="M47" s="95">
        <f t="shared" si="29"/>
        <v>1000</v>
      </c>
      <c r="N47" s="94">
        <f>+VLOOKUP($I47,'Master Data'!$B:$V,21,FALSE)</f>
        <v>11.94</v>
      </c>
      <c r="O47" s="95">
        <f t="shared" si="31"/>
        <v>11.94</v>
      </c>
      <c r="P47" s="95">
        <f>+'Master Data'!$W$127*$G47</f>
        <v>2.2000000000000002</v>
      </c>
      <c r="Q47" s="95">
        <f>+'Master Data'!$W$111*$G47</f>
        <v>3.0769230769230771</v>
      </c>
      <c r="R47" s="95">
        <v>0</v>
      </c>
      <c r="S47" s="94">
        <f>+VLOOKUP($J47,'Master Data'!$B:$V,21,FALSE)*$H47</f>
        <v>8.77</v>
      </c>
      <c r="T47" s="94">
        <f>+VLOOKUP($K47,'Master Data'!$B:$V,21,FALSE)</f>
        <v>30</v>
      </c>
      <c r="U47" s="95">
        <f t="shared" si="32"/>
        <v>215.46507142857141</v>
      </c>
      <c r="V47" s="95">
        <f t="shared" si="30"/>
        <v>1684.9758040293041</v>
      </c>
    </row>
    <row r="48" spans="1:22">
      <c r="A48" s="66">
        <f t="shared" si="24"/>
        <v>46</v>
      </c>
      <c r="B48" s="108" t="s">
        <v>288</v>
      </c>
      <c r="C48" s="104" t="s">
        <v>274</v>
      </c>
      <c r="D48" s="101" t="str">
        <f>+VLOOKUP($B48,'Master Data'!$B$20:$W$197,2,FALSE)</f>
        <v>Chandan Enterprise</v>
      </c>
      <c r="E48" s="94">
        <f>+VLOOKUP($B48,'Master Data'!$B:$V,21,FALSE)</f>
        <v>1.1087619047619048</v>
      </c>
      <c r="F48" s="94">
        <f t="shared" si="22"/>
        <v>1108.7619047619048</v>
      </c>
      <c r="G48" s="95">
        <v>1</v>
      </c>
      <c r="H48" s="95">
        <f t="shared" si="33"/>
        <v>1</v>
      </c>
      <c r="I48" s="110" t="s">
        <v>441</v>
      </c>
      <c r="J48" s="110" t="s">
        <v>263</v>
      </c>
      <c r="K48" s="110" t="s">
        <v>236</v>
      </c>
      <c r="L48" s="110">
        <v>15</v>
      </c>
      <c r="M48" s="95">
        <f t="shared" si="29"/>
        <v>1000</v>
      </c>
      <c r="N48" s="94">
        <f>+VLOOKUP($I48,'Master Data'!$B:$V,21,FALSE)</f>
        <v>11.94</v>
      </c>
      <c r="O48" s="95">
        <f t="shared" si="31"/>
        <v>11.94</v>
      </c>
      <c r="P48" s="95">
        <f>+'Master Data'!$W$127*$G48</f>
        <v>2.2000000000000002</v>
      </c>
      <c r="Q48" s="95">
        <f>+'Master Data'!$W$111*$G48</f>
        <v>3.0769230769230771</v>
      </c>
      <c r="R48" s="95">
        <v>0</v>
      </c>
      <c r="S48" s="94">
        <f>+VLOOKUP($J48,'Master Data'!$B:$V,21,FALSE)*$H48</f>
        <v>8.77</v>
      </c>
      <c r="T48" s="94">
        <f>+VLOOKUP($K48,'Master Data'!$B:$V,21,FALSE)</f>
        <v>30</v>
      </c>
      <c r="U48" s="95">
        <f t="shared" si="32"/>
        <v>169.75078571428574</v>
      </c>
      <c r="V48" s="95">
        <f t="shared" si="30"/>
        <v>1334.4996135531137</v>
      </c>
    </row>
    <row r="49" spans="1:22">
      <c r="A49" s="66">
        <f t="shared" si="24"/>
        <v>47</v>
      </c>
      <c r="B49" s="100" t="s">
        <v>17</v>
      </c>
      <c r="C49" s="104" t="s">
        <v>275</v>
      </c>
      <c r="D49" s="101" t="str">
        <f>+VLOOKUP($B49,'Master Data'!$B$20:$W$197,2,FALSE)</f>
        <v>Ali Kikabai</v>
      </c>
      <c r="E49" s="94">
        <f>+VLOOKUP($B49,'Master Data'!$B:$V,21,FALSE)</f>
        <v>0.48360000000000003</v>
      </c>
      <c r="F49" s="94">
        <f t="shared" si="22"/>
        <v>483.6</v>
      </c>
      <c r="G49" s="95">
        <v>1</v>
      </c>
      <c r="H49" s="95">
        <f>+IF($G49=0.5,2,IF($G49=1,4,$G49))</f>
        <v>4</v>
      </c>
      <c r="I49" s="110" t="s">
        <v>441</v>
      </c>
      <c r="J49" s="110" t="s">
        <v>263</v>
      </c>
      <c r="K49" s="110" t="s">
        <v>236</v>
      </c>
      <c r="L49" s="110">
        <v>15</v>
      </c>
      <c r="M49" s="95">
        <f t="shared" si="29"/>
        <v>1000</v>
      </c>
      <c r="N49" s="94">
        <f>+VLOOKUP($I49,'Master Data'!$B:$V,21,FALSE)</f>
        <v>11.94</v>
      </c>
      <c r="O49" s="95">
        <f t="shared" si="31"/>
        <v>11.94</v>
      </c>
      <c r="P49" s="95">
        <f>+'Master Data'!$W$127*$G49</f>
        <v>2.2000000000000002</v>
      </c>
      <c r="Q49" s="95">
        <f>+'Master Data'!$W$111*$G49</f>
        <v>3.0769230769230771</v>
      </c>
      <c r="R49" s="95">
        <v>0</v>
      </c>
      <c r="S49" s="94">
        <f>+VLOOKUP($J49,'Master Data'!$B:$V,21,FALSE)*$H49</f>
        <v>35.08</v>
      </c>
      <c r="T49" s="94">
        <f>+VLOOKUP($K49,'Master Data'!$B:$V,21,FALSE)</f>
        <v>30</v>
      </c>
      <c r="U49" s="95">
        <f t="shared" si="32"/>
        <v>79.923000000000002</v>
      </c>
      <c r="V49" s="95">
        <f t="shared" si="30"/>
        <v>645.81992307692315</v>
      </c>
    </row>
    <row r="50" spans="1:22">
      <c r="A50" s="66">
        <f t="shared" ref="A50:A54" si="34">+A49+1</f>
        <v>48</v>
      </c>
      <c r="B50" s="100" t="s">
        <v>40</v>
      </c>
      <c r="C50" s="104"/>
      <c r="D50" s="101" t="str">
        <f>+VLOOKUP($B50,'Master Data'!$B$20:$W$197,2,FALSE)</f>
        <v>Chandan Enterprise</v>
      </c>
      <c r="E50" s="94">
        <f>+VLOOKUP($B50,'Master Data'!$B:$V,21,FALSE)</f>
        <v>0.1</v>
      </c>
      <c r="F50" s="94">
        <f t="shared" si="22"/>
        <v>100</v>
      </c>
      <c r="G50" s="95">
        <v>1</v>
      </c>
      <c r="H50" s="95">
        <f>+IF($G50=0.5,1,IF($G50=1,1,$G50))</f>
        <v>1</v>
      </c>
      <c r="I50" s="110" t="s">
        <v>441</v>
      </c>
      <c r="J50" s="110" t="s">
        <v>263</v>
      </c>
      <c r="K50" s="110" t="s">
        <v>236</v>
      </c>
      <c r="L50" s="110">
        <v>15</v>
      </c>
      <c r="M50" s="95">
        <f t="shared" si="29"/>
        <v>1000</v>
      </c>
      <c r="N50" s="94">
        <f>+VLOOKUP($I50,'Master Data'!$B:$V,21,FALSE)</f>
        <v>11.94</v>
      </c>
      <c r="O50" s="95">
        <f t="shared" si="31"/>
        <v>11.94</v>
      </c>
      <c r="P50" s="95">
        <f>+'Master Data'!$W$127*$G50</f>
        <v>2.2000000000000002</v>
      </c>
      <c r="Q50" s="95">
        <f>+'Master Data'!$W$111*$G50</f>
        <v>3.0769230769230771</v>
      </c>
      <c r="R50" s="95">
        <v>0</v>
      </c>
      <c r="S50" s="94">
        <f>+VLOOKUP($J50,'Master Data'!$B:$V,21,FALSE)*$H50</f>
        <v>8.77</v>
      </c>
      <c r="T50" s="94">
        <f>+VLOOKUP($K50,'Master Data'!$B:$V,21,FALSE)</f>
        <v>30</v>
      </c>
      <c r="U50" s="95">
        <f t="shared" si="32"/>
        <v>18.436499999999999</v>
      </c>
      <c r="V50" s="95">
        <f t="shared" si="30"/>
        <v>174.42342307692306</v>
      </c>
    </row>
    <row r="51" spans="1:22">
      <c r="A51" s="66">
        <f t="shared" si="34"/>
        <v>49</v>
      </c>
      <c r="B51" s="100" t="s">
        <v>86</v>
      </c>
      <c r="C51" s="104"/>
      <c r="D51" s="101" t="str">
        <f>+VLOOKUP($B51,'Master Data'!$B$20:$W$197,2,FALSE)</f>
        <v>Chandan Enterprise</v>
      </c>
      <c r="E51" s="94">
        <f>+VLOOKUP($B51,'Master Data'!$B:$V,21,FALSE)</f>
        <v>0.27</v>
      </c>
      <c r="F51" s="94">
        <f t="shared" si="22"/>
        <v>270</v>
      </c>
      <c r="G51" s="95">
        <v>1</v>
      </c>
      <c r="H51" s="95">
        <f>+IF($G51=0.5,2,IF($G51=1,4,$G51))</f>
        <v>4</v>
      </c>
      <c r="I51" s="110" t="s">
        <v>441</v>
      </c>
      <c r="J51" s="110" t="s">
        <v>263</v>
      </c>
      <c r="K51" s="110" t="s">
        <v>236</v>
      </c>
      <c r="L51" s="110">
        <v>15</v>
      </c>
      <c r="M51" s="95">
        <f t="shared" si="29"/>
        <v>1000</v>
      </c>
      <c r="N51" s="94">
        <f>+VLOOKUP($I51,'Master Data'!$B:$V,21,FALSE)</f>
        <v>11.94</v>
      </c>
      <c r="O51" s="95">
        <f t="shared" si="31"/>
        <v>11.94</v>
      </c>
      <c r="P51" s="95">
        <f>+'Master Data'!$W$127*$G51</f>
        <v>2.2000000000000002</v>
      </c>
      <c r="Q51" s="95">
        <f>+'Master Data'!$W$111*$G51</f>
        <v>3.0769230769230771</v>
      </c>
      <c r="R51" s="95">
        <v>0</v>
      </c>
      <c r="S51" s="94">
        <f>+VLOOKUP($J51,'Master Data'!$B:$V,21,FALSE)*$H51</f>
        <v>35.08</v>
      </c>
      <c r="T51" s="94">
        <f>+VLOOKUP($K51,'Master Data'!$B:$V,21,FALSE)</f>
        <v>30</v>
      </c>
      <c r="U51" s="95">
        <f t="shared" si="32"/>
        <v>47.882999999999996</v>
      </c>
      <c r="V51" s="95">
        <f t="shared" si="30"/>
        <v>400.17992307692305</v>
      </c>
    </row>
    <row r="52" spans="1:22">
      <c r="A52" s="66">
        <f t="shared" si="34"/>
        <v>50</v>
      </c>
      <c r="B52" s="109" t="s">
        <v>70</v>
      </c>
      <c r="C52" s="104"/>
      <c r="D52" s="101" t="str">
        <f>+VLOOKUP($B52,'Master Data'!$B$20:$W$197,2,FALSE)</f>
        <v>Chandan Enterprise</v>
      </c>
      <c r="E52" s="94">
        <f>+VLOOKUP($B52,'Master Data'!$B:$V,21,FALSE)</f>
        <v>0.36499999999999999</v>
      </c>
      <c r="F52" s="94">
        <f t="shared" si="22"/>
        <v>365</v>
      </c>
      <c r="G52" s="95">
        <v>1</v>
      </c>
      <c r="H52" s="95">
        <f t="shared" ref="H52:H54" si="35">+IF($G52=0.5,1,IF($G52=1,1,$G52))</f>
        <v>1</v>
      </c>
      <c r="I52" s="110" t="s">
        <v>441</v>
      </c>
      <c r="J52" s="110" t="s">
        <v>263</v>
      </c>
      <c r="K52" s="110" t="s">
        <v>236</v>
      </c>
      <c r="L52" s="110">
        <v>15</v>
      </c>
      <c r="M52" s="95">
        <f t="shared" si="29"/>
        <v>1000</v>
      </c>
      <c r="N52" s="94">
        <f>+VLOOKUP($I52,'Master Data'!$B:$V,21,FALSE)</f>
        <v>11.94</v>
      </c>
      <c r="O52" s="95">
        <f t="shared" si="31"/>
        <v>11.94</v>
      </c>
      <c r="P52" s="95">
        <f>+'Master Data'!$W$127*$G52</f>
        <v>2.2000000000000002</v>
      </c>
      <c r="Q52" s="95">
        <f>+'Master Data'!$W$111*$G52</f>
        <v>3.0769230769230771</v>
      </c>
      <c r="R52" s="95">
        <v>0</v>
      </c>
      <c r="S52" s="94">
        <f>+VLOOKUP($J52,'Master Data'!$B:$V,21,FALSE)*$H52</f>
        <v>8.77</v>
      </c>
      <c r="T52" s="94">
        <f>+VLOOKUP($K52,'Master Data'!$B:$V,21,FALSE)</f>
        <v>30</v>
      </c>
      <c r="U52" s="95">
        <f t="shared" si="32"/>
        <v>58.186499999999995</v>
      </c>
      <c r="V52" s="95">
        <f t="shared" si="30"/>
        <v>479.17342307692309</v>
      </c>
    </row>
    <row r="53" spans="1:22">
      <c r="A53" s="66">
        <f t="shared" si="34"/>
        <v>51</v>
      </c>
      <c r="B53" s="100" t="s">
        <v>57</v>
      </c>
      <c r="C53" s="104"/>
      <c r="D53" s="101" t="str">
        <f>+VLOOKUP($B53,'Master Data'!$B$20:$W$197,2,FALSE)</f>
        <v>Chandan Enterprise</v>
      </c>
      <c r="E53" s="94">
        <f>+VLOOKUP($B53,'Master Data'!$B:$V,21,FALSE)</f>
        <v>0.21199999999999999</v>
      </c>
      <c r="F53" s="94">
        <f t="shared" si="22"/>
        <v>212</v>
      </c>
      <c r="G53" s="95">
        <v>1</v>
      </c>
      <c r="H53" s="95">
        <f t="shared" si="35"/>
        <v>1</v>
      </c>
      <c r="I53" s="110" t="s">
        <v>441</v>
      </c>
      <c r="J53" s="110" t="s">
        <v>263</v>
      </c>
      <c r="K53" s="110" t="s">
        <v>236</v>
      </c>
      <c r="L53" s="110">
        <v>15</v>
      </c>
      <c r="M53" s="95">
        <f t="shared" si="29"/>
        <v>1000</v>
      </c>
      <c r="N53" s="94">
        <f>+VLOOKUP($I53,'Master Data'!$B:$V,21,FALSE)</f>
        <v>11.94</v>
      </c>
      <c r="O53" s="95">
        <f t="shared" si="31"/>
        <v>11.94</v>
      </c>
      <c r="P53" s="95">
        <f>+'Master Data'!$W$127*$G53</f>
        <v>2.2000000000000002</v>
      </c>
      <c r="Q53" s="95">
        <f>+'Master Data'!$W$111*$G53</f>
        <v>3.0769230769230771</v>
      </c>
      <c r="R53" s="95">
        <v>0</v>
      </c>
      <c r="S53" s="94">
        <f>+VLOOKUP($J53,'Master Data'!$B:$V,21,FALSE)*$H53</f>
        <v>8.77</v>
      </c>
      <c r="T53" s="94">
        <f>+VLOOKUP($K53,'Master Data'!$B:$V,21,FALSE)</f>
        <v>30</v>
      </c>
      <c r="U53" s="95">
        <f t="shared" si="32"/>
        <v>35.236499999999999</v>
      </c>
      <c r="V53" s="95">
        <f t="shared" si="30"/>
        <v>303.22342307692304</v>
      </c>
    </row>
    <row r="54" spans="1:22">
      <c r="A54" s="66">
        <f t="shared" si="34"/>
        <v>52</v>
      </c>
      <c r="B54" s="100" t="s">
        <v>52</v>
      </c>
      <c r="C54" s="104"/>
      <c r="D54" s="101" t="str">
        <f>+VLOOKUP($B54,'Master Data'!$B$20:$W$197,2,FALSE)</f>
        <v>Chandan Enterprise</v>
      </c>
      <c r="E54" s="94">
        <f>+VLOOKUP($B54,'Master Data'!$B:$V,21,FALSE)</f>
        <v>0.34599999999999997</v>
      </c>
      <c r="F54" s="94">
        <f t="shared" si="22"/>
        <v>346</v>
      </c>
      <c r="G54" s="95">
        <v>1</v>
      </c>
      <c r="H54" s="95">
        <f t="shared" si="35"/>
        <v>1</v>
      </c>
      <c r="I54" s="110" t="s">
        <v>441</v>
      </c>
      <c r="J54" s="110" t="s">
        <v>263</v>
      </c>
      <c r="K54" s="110" t="s">
        <v>236</v>
      </c>
      <c r="L54" s="110">
        <v>15</v>
      </c>
      <c r="M54" s="95">
        <f t="shared" si="29"/>
        <v>1000</v>
      </c>
      <c r="N54" s="94">
        <f>+VLOOKUP($I54,'Master Data'!$B:$V,21,FALSE)</f>
        <v>11.94</v>
      </c>
      <c r="O54" s="95">
        <f t="shared" si="31"/>
        <v>11.94</v>
      </c>
      <c r="P54" s="95">
        <f>+'Master Data'!$W$127*$G54</f>
        <v>2.2000000000000002</v>
      </c>
      <c r="Q54" s="95">
        <f>+'Master Data'!$W$111*$G54</f>
        <v>3.0769230769230771</v>
      </c>
      <c r="R54" s="95">
        <v>0</v>
      </c>
      <c r="S54" s="94">
        <f>+VLOOKUP($J54,'Master Data'!$B:$V,21,FALSE)*$H54</f>
        <v>8.77</v>
      </c>
      <c r="T54" s="94">
        <f>+VLOOKUP($K54,'Master Data'!$B:$V,21,FALSE)</f>
        <v>30</v>
      </c>
      <c r="U54" s="95">
        <f t="shared" si="32"/>
        <v>55.336499999999994</v>
      </c>
      <c r="V54" s="95">
        <f t="shared" si="30"/>
        <v>457.32342307692306</v>
      </c>
    </row>
  </sheetData>
  <autoFilter ref="A2:V54" xr:uid="{0788CA80-EA6F-41A8-8925-C5096C2E599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1A69377-244E-43F4-8573-E85D26F24F29}">
          <x14:formula1>
            <xm:f>'Master Data'!$E$1171:$E$1175</xm:f>
          </x14:formula1>
          <xm:sqref>I3:I1048576</xm:sqref>
        </x14:dataValidation>
        <x14:dataValidation type="list" allowBlank="1" showInputMessage="1" showErrorMessage="1" xr:uid="{87367C10-5615-4DE3-86B3-983C6225DD8A}">
          <x14:formula1>
            <xm:f>'Master Data'!$L$1171:$L$1196</xm:f>
          </x14:formula1>
          <xm:sqref>K3:K1048576</xm:sqref>
        </x14:dataValidation>
        <x14:dataValidation type="list" allowBlank="1" showInputMessage="1" showErrorMessage="1" xr:uid="{BC39F568-97D5-4789-8704-5666C22CF858}">
          <x14:formula1>
            <xm:f>'Master Data'!$O$1171:$O$1176</xm:f>
          </x14:formula1>
          <xm:sqref>G3:G1048576</xm:sqref>
        </x14:dataValidation>
        <x14:dataValidation type="list" allowBlank="1" showInputMessage="1" showErrorMessage="1" xr:uid="{46C98878-CB3E-478C-9F0A-119053218E6E}">
          <x14:formula1>
            <xm:f>'Master Data'!$R$1172:$R$1271</xm:f>
          </x14:formula1>
          <xm:sqref>L3:L1048576</xm:sqref>
        </x14:dataValidation>
        <x14:dataValidation type="list" allowBlank="1" showInputMessage="1" showErrorMessage="1" xr:uid="{E7A44D55-FBDF-49E3-9D2C-2D200DFD7925}">
          <x14:formula1>
            <xm:f>'Master Data'!$H$1171:$H$1179</xm:f>
          </x14:formula1>
          <xm:sqref>J55:J1048576</xm:sqref>
        </x14:dataValidation>
        <x14:dataValidation type="list" allowBlank="1" showInputMessage="1" showErrorMessage="1" xr:uid="{DEB8F361-6131-45C0-BFA8-A3FCF65CEE1B}">
          <x14:formula1>
            <xm:f>'Master Data'!$H$1171:$H$1180</xm:f>
          </x14:formula1>
          <xm:sqref>J3:J54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4938-00C4-6244-BCFD-87C5699224F8}">
  <dimension ref="B5:C11"/>
  <sheetViews>
    <sheetView zoomScale="185" workbookViewId="0">
      <selection activeCell="C11" sqref="C11"/>
    </sheetView>
  </sheetViews>
  <sheetFormatPr baseColWidth="10" defaultRowHeight="14"/>
  <cols>
    <col min="2" max="2" width="18.83203125" customWidth="1"/>
    <col min="3" max="3" width="29" customWidth="1"/>
  </cols>
  <sheetData>
    <row r="5" spans="2:3" ht="16">
      <c r="B5" s="284" t="s">
        <v>148</v>
      </c>
      <c r="C5" s="280" t="s">
        <v>15</v>
      </c>
    </row>
    <row r="6" spans="2:3" ht="16">
      <c r="B6" s="285" t="s">
        <v>150</v>
      </c>
      <c r="C6" s="281" t="str">
        <f>VLOOKUP($C5,'Production Cost'!$B$2:$D$79,3,FALSE)</f>
        <v>Ali Kikabai</v>
      </c>
    </row>
    <row r="7" spans="2:3" ht="32">
      <c r="B7" s="285" t="s">
        <v>229</v>
      </c>
      <c r="C7" s="282" t="s">
        <v>267</v>
      </c>
    </row>
    <row r="8" spans="2:3" ht="16">
      <c r="B8" s="285" t="s">
        <v>310</v>
      </c>
      <c r="C8" s="281">
        <v>1000</v>
      </c>
    </row>
    <row r="9" spans="2:3" ht="16">
      <c r="B9" s="285" t="s">
        <v>311</v>
      </c>
      <c r="C9" s="281" t="s">
        <v>312</v>
      </c>
    </row>
    <row r="10" spans="2:3" ht="16">
      <c r="B10" s="285" t="s">
        <v>319</v>
      </c>
      <c r="C10" s="281" t="s">
        <v>320</v>
      </c>
    </row>
    <row r="11" spans="2:3" ht="16">
      <c r="B11" s="285" t="s">
        <v>453</v>
      </c>
      <c r="C11" s="283">
        <f>(VALUE($C$8)*IF($C$6="In House Production",INDEX('Master Data'!$H$552:$J$576,MATCH($C$5,'Master Data'!$H$552:$H$576,0),3),VLOOKUP($C$5,'Master Data'!$B:$W,IF($C$9="Wholesale",21,22),FALSE)))+(VLOOKUP(IF($C$10="Maruthi Plastics",INDEX('Master Data'!$B$202:$L$255,MATCH($C$5,'Master Data'!$B$202:$B$255,0),MATCH(VALUE($C$8),'Master Data'!$B$202:$L$202,0)),INDEX('Master Data'!$B$261:$L$314,MATCH($C$5,'Master Data'!$B$261:$B$314,0),MATCH(VALUE($C$8),'Master Data'!$B$261:$L$261,0))),'Master Data'!$B:$W,IF($C$9="Wholesale",21,22),FALSE)*INDEX('Master Data'!$B$323:$K$376,MATCH($C$5,'Master Data'!$B$323:$B$376,0),MATCH(VALUE($C$8),'Master Data'!$B$323:$K$323,0)))+(IF($C$9="Wholesale",'Master Data'!$V$127*INDEX('Master Data'!$B$323:$K$376,MATCH($C$5,'Master Data'!$B$323:$B$376,0),MATCH(VALUE($C$8),'Master Data'!$B$323:$K$323,0)),'Master Data'!$W$127*INDEX('Master Data'!$B$323:$K$376,MATCH($C$5,'Master Data'!$B$323:$B$376,0),MATCH(VALUE($C$8),'Master Data'!$B$323:$K$323,0))))+(IF($C$9="Wholesale",'Master Data'!$V$111*INDEX('Master Data'!$B$323:$K$376,MATCH($C$5,'Master Data'!$B$323:$B$376,0),MATCH(VALUE($C$8),'Master Data'!$B$323:$K$323,0)),'Master Data'!$W$111*INDEX('Master Data'!$B$323:$K$376,MATCH($C$5,'Master Data'!$B$323:$B$376,0),MATCH(VALUE($C$8),'Master Data'!$B$323:$K$323,0))))+(IF(VALUE($C$8)=1000,'Master Data'!$AF$40,IF(VALUE($C$8)=500,'Master Data'!$AF$39,IF(VALUE($C$8)=250,'Master Data'!$AF$39,'Master Data'!$AF$38))))+(IF(VALUE($C$8)=1000,VLOOKUP($C$7,'Master Data'!$B:$W,IF($C$9="Wholesale",21,22),FALSE),IF(VALUE($C$8)=500,VLOOKUP($C$7,'Master Data'!$B:$W,IF($C$9="Wholesale",21,22),FALSE)/2,IF(VALUE($C$8)=250,VLOOKUP($C$7,'Master Data'!$B:$W,IF($C$9="Wholesale",21,22),FALSE)/3,IF(VALUE($C$8)=100,VLOOKUP($C$7,'Master Data'!$B:$W,IF($C$9="Wholesale",21,22),FALSE)/4,IF(VALUE($C$8)=50,VLOOKUP($C$7,'Master Data'!$B:$W,IF($C$9="Wholesale",21,22),FALSE)/6,IF(VALUE($C$8)=25,VLOOKUP($C$7,'Master Data'!$B:$W,IF($C$9="Wholesale",21,22),FALSE)/8,VLOOKUP($C$7,'Master Data'!$B:$W,IF($C$9="Wholesale",21,22),FALSE)/8)))))))+(IF(VALUE($C$8)=1000,'Master Data'!$AB$32,IF(VALUE($C$8)=500,'Master Data'!$AB$33,IF(VALUE($C$8)=250,'Master Data'!$AB$34,IF(VALUE($C$8)=100,'Master Data'!$AB$35,IF(VALUE($C$8)=50,'Master Data'!$AB$36,IF(VALUE($C$8)=25,'Master Data'!$AB$37,'Master Data'!$AB$38)))))))+(((VALUE($C$8)*IF($C$6="In House Production",INDEX('Master Data'!$H$552:$J$576,MATCH($C$5,'Master Data'!$H$552:$H$576,0),3),VLOOKUP($C$5,'Master Data'!$B:$W,IF($C$9="Wholesale",21,22),FALSE)))+(VLOOKUP(IF($C$10="Maruthi Plastics",INDEX('Master Data'!$B$202:$L$255,MATCH($C$5,'Master Data'!$B$202:$B$255,0),MATCH(VALUE($C$8),'Master Data'!$B$202:$L$202,0)),INDEX('Master Data'!$B$261:$L$314,MATCH($C$5,'Master Data'!$B$261:$B$314,0),MATCH(VALUE($C$8),'Master Data'!$B$261:$L$261,0))),'Master Data'!$B:$W,IF($C$9="Wholesale",21,22),FALSE)*INDEX('Master Data'!$B$323:$K$376,MATCH($C$5,'Master Data'!$B$323:$B$376,0),MATCH(VALUE($C$8),'Master Data'!$B$323:$K$323,0)))+(IF($C$9="Wholesale",'Master Data'!$V$127*INDEX('Master Data'!$B$323:$K$376,MATCH($C$5,'Master Data'!$B$323:$B$376,0),MATCH(VALUE($C$8),'Master Data'!$B$323:$K$323,0)),'Master Data'!$W$127*INDEX('Master Data'!$B$323:$K$376,MATCH($C$5,'Master Data'!$B$323:$B$376,0),MATCH(VALUE($C$8),'Master Data'!$B$323:$K$323,0))))+(IF(VALUE($C$8)=1000,VLOOKUP($C$7,'Master Data'!$B:$W,IF($C$9="Wholesale",21,22),FALSE),IF(VALUE($C$8)=500,VLOOKUP($C$7,'Master Data'!$B:$W,IF($C$9="Wholesale",21,22),FALSE)/2,IF(VALUE($C$8)=250,VLOOKUP($C$7,'Master Data'!$B:$W,IF($C$9="Wholesale",21,22),FALSE)/3,IF(VALUE($C$8)=100,VLOOKUP($C$7,'Master Data'!$B:$W,IF($C$9="Wholesale",21,22),FALSE)/4,IF(VALUE($C$8)=50,VLOOKUP($C$7,'Master Data'!$B:$W,IF($C$9="Wholesale",21,22),FALSE)/6,IF(VALUE($C$8)=25,VLOOKUP($C$7,'Master Data'!$B:$W,IF($C$9="Wholesale",21,22),FALSE)/8,VLOOKUP($C$7,'Master Data'!$B:$W,IF($C$9="Wholesale",21,22),FALSE)/8)))))))+(IF($C$9="Wholesale",'Master Data'!$V$111*INDEX('Master Data'!$B$323:$K$376,MATCH($C$5,'Master Data'!$B$323:$B$376,0),MATCH(VALUE($C$8),'Master Data'!$B$323:$K$323,0)),'Master Data'!$W$111*INDEX('Master Data'!$B$323:$K$376,MATCH($C$5,'Master Data'!$B$323:$B$376,0),MATCH(VALUE($C$8),'Master Data'!$B$323:$K$323,0)))))*(10/100))</f>
        <v>2320.5258974358981</v>
      </c>
    </row>
  </sheetData>
  <conditionalFormatting sqref="C8">
    <cfRule type="cellIs" dxfId="14" priority="1" operator="equal">
      <formula>15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E80AB30-7B87-134B-861E-55178F56B2A0}">
          <x14:formula1>
            <xm:f>'Production Cost'!$B$3:$B$55</xm:f>
          </x14:formula1>
          <xm:sqref>C5</xm:sqref>
        </x14:dataValidation>
        <x14:dataValidation type="list" allowBlank="1" showInputMessage="1" showErrorMessage="1" xr:uid="{A301531E-A408-754C-80B9-356583DBDEB5}">
          <x14:formula1>
            <xm:f>'Master Data'!$H$1171:$H$1180</xm:f>
          </x14:formula1>
          <xm:sqref>C7</xm:sqref>
        </x14:dataValidation>
        <x14:dataValidation type="list" allowBlank="1" showInputMessage="1" showErrorMessage="1" xr:uid="{7CDB81A8-04DC-C04B-AC75-DA8E97DC957B}">
          <x14:formula1>
            <xm:f>'Master Data'!$U$1171:$U$1180</xm:f>
          </x14:formula1>
          <xm:sqref>C8</xm:sqref>
        </x14:dataValidation>
        <x14:dataValidation type="list" allowBlank="1" showInputMessage="1" showErrorMessage="1" xr:uid="{338FBCB7-8E55-8F4F-8CDB-2390ED434F4B}">
          <x14:formula1>
            <xm:f>'Master Data'!$X$1171:$X$1172</xm:f>
          </x14:formula1>
          <xm:sqref>C9</xm:sqref>
        </x14:dataValidation>
        <x14:dataValidation type="list" allowBlank="1" showInputMessage="1" showErrorMessage="1" xr:uid="{40C4FB81-D6DA-EE49-BC31-0131DECF52C3}">
          <x14:formula1>
            <xm:f>'Master Data'!$AG$1171:$AG$1172</xm:f>
          </x14:formula1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12CE-95BF-4CF2-BCCC-83A2E3851CB9}">
  <dimension ref="A1:AD79"/>
  <sheetViews>
    <sheetView zoomScale="109" zoomScaleNormal="115" workbookViewId="0">
      <pane xSplit="4" ySplit="2" topLeftCell="V28" activePane="bottomRight" state="frozen"/>
      <selection pane="topRight" activeCell="E1" sqref="E1"/>
      <selection pane="bottomLeft" activeCell="A3" sqref="A3"/>
      <selection pane="bottomRight" activeCell="X34" sqref="X34"/>
    </sheetView>
  </sheetViews>
  <sheetFormatPr baseColWidth="10" defaultColWidth="9" defaultRowHeight="14"/>
  <cols>
    <col min="1" max="1" width="9.6640625" style="112" bestFit="1" customWidth="1"/>
    <col min="2" max="2" width="28.1640625" style="112" customWidth="1"/>
    <col min="3" max="3" width="15.5" style="112" bestFit="1" customWidth="1"/>
    <col min="4" max="4" width="10.1640625" style="112" bestFit="1" customWidth="1"/>
    <col min="5" max="5" width="19.5" style="112" bestFit="1" customWidth="1"/>
    <col min="6" max="8" width="10.1640625" style="112" customWidth="1"/>
    <col min="9" max="9" width="17.1640625" style="112" bestFit="1" customWidth="1"/>
    <col min="10" max="10" width="19.6640625" style="112" bestFit="1" customWidth="1"/>
    <col min="11" max="11" width="33.1640625" style="112" bestFit="1" customWidth="1"/>
    <col min="12" max="12" width="23.1640625" style="112" bestFit="1" customWidth="1"/>
    <col min="13" max="13" width="20.6640625" style="112" bestFit="1" customWidth="1"/>
    <col min="14" max="14" width="32.6640625" style="112" customWidth="1"/>
    <col min="15" max="15" width="13.6640625" style="112" bestFit="1" customWidth="1"/>
    <col min="16" max="16" width="18.6640625" style="112" bestFit="1" customWidth="1"/>
    <col min="17" max="17" width="22.1640625" style="112" bestFit="1" customWidth="1"/>
    <col min="18" max="18" width="21.6640625" style="112" bestFit="1" customWidth="1"/>
    <col min="19" max="19" width="17.1640625" style="112" bestFit="1" customWidth="1"/>
    <col min="20" max="20" width="13.6640625" style="112" bestFit="1" customWidth="1"/>
    <col min="21" max="21" width="21.1640625" style="112" bestFit="1" customWidth="1"/>
    <col min="22" max="22" width="24.1640625" style="112" bestFit="1" customWidth="1"/>
    <col min="23" max="23" width="24.1640625" style="112" customWidth="1"/>
    <col min="24" max="24" width="19.1640625" style="112" bestFit="1" customWidth="1"/>
    <col min="25" max="25" width="16.6640625" style="112" bestFit="1" customWidth="1"/>
    <col min="26" max="26" width="10.1640625" style="112" hidden="1" customWidth="1"/>
    <col min="27" max="27" width="10.1640625" style="112" customWidth="1"/>
    <col min="28" max="28" width="10" style="112" bestFit="1" customWidth="1"/>
    <col min="29" max="16384" width="9" style="112"/>
  </cols>
  <sheetData>
    <row r="1" spans="1:30" ht="16.25" customHeight="1">
      <c r="A1" s="370" t="s">
        <v>293</v>
      </c>
      <c r="B1" s="371"/>
      <c r="C1" s="371"/>
      <c r="D1" s="372"/>
      <c r="E1" s="131"/>
      <c r="F1" s="129"/>
      <c r="G1" s="129"/>
      <c r="H1" s="129"/>
      <c r="I1" s="131"/>
      <c r="J1" s="131"/>
      <c r="K1" s="131"/>
      <c r="L1" s="130" t="s">
        <v>294</v>
      </c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30" s="113" customFormat="1" ht="48" customHeight="1">
      <c r="A2" s="114" t="s">
        <v>147</v>
      </c>
      <c r="B2" s="123" t="s">
        <v>148</v>
      </c>
      <c r="C2" s="123" t="s">
        <v>149</v>
      </c>
      <c r="D2" s="114" t="s">
        <v>150</v>
      </c>
      <c r="E2" s="114" t="s">
        <v>229</v>
      </c>
      <c r="F2" s="114" t="s">
        <v>310</v>
      </c>
      <c r="G2" s="114" t="s">
        <v>311</v>
      </c>
      <c r="H2" s="114" t="s">
        <v>319</v>
      </c>
      <c r="I2" s="114" t="s">
        <v>230</v>
      </c>
      <c r="J2" s="124" t="s">
        <v>282</v>
      </c>
      <c r="K2" s="114" t="s">
        <v>315</v>
      </c>
      <c r="L2" s="114" t="s">
        <v>280</v>
      </c>
      <c r="M2" s="114" t="s">
        <v>287</v>
      </c>
      <c r="N2" s="114" t="s">
        <v>227</v>
      </c>
      <c r="O2" s="124" t="s">
        <v>219</v>
      </c>
      <c r="P2" s="114" t="s">
        <v>231</v>
      </c>
      <c r="Q2" s="114" t="s">
        <v>316</v>
      </c>
      <c r="R2" s="114" t="s">
        <v>317</v>
      </c>
      <c r="S2" s="114" t="s">
        <v>232</v>
      </c>
      <c r="T2" s="114" t="s">
        <v>24</v>
      </c>
      <c r="U2" s="114" t="s">
        <v>318</v>
      </c>
      <c r="V2" s="114" t="s">
        <v>230</v>
      </c>
      <c r="W2" s="114" t="s">
        <v>412</v>
      </c>
      <c r="X2" s="124" t="s">
        <v>25</v>
      </c>
      <c r="Y2" s="114" t="s">
        <v>314</v>
      </c>
      <c r="Z2" s="114" t="s">
        <v>309</v>
      </c>
      <c r="AA2" s="114" t="s">
        <v>432</v>
      </c>
    </row>
    <row r="3" spans="1:30" ht="61.25" customHeight="1">
      <c r="A3" s="125">
        <v>1</v>
      </c>
      <c r="B3" s="121" t="s">
        <v>15</v>
      </c>
      <c r="C3" s="121" t="s">
        <v>153</v>
      </c>
      <c r="D3" s="126" t="str">
        <f>+VLOOKUP($B3,'Master Data'!$B$20:$W$197,2,FALSE)</f>
        <v>Ali Kikabai</v>
      </c>
      <c r="E3" s="116" t="s">
        <v>295</v>
      </c>
      <c r="F3" s="126">
        <v>1000</v>
      </c>
      <c r="G3" s="126" t="s">
        <v>312</v>
      </c>
      <c r="H3" s="126" t="s">
        <v>320</v>
      </c>
      <c r="I3" s="125" t="s">
        <v>371</v>
      </c>
      <c r="J3" s="116">
        <v>20</v>
      </c>
      <c r="K3" s="117">
        <f>IF(D3="In House Production",INDEX('Master Data'!$H$552:$J$580,MATCH('Production Cost'!B3,'Master Data'!$H$552:$H$580,0),3),VLOOKUP($B3,'Master Data'!$B:$W,IF(G3="Wholesale",21,22),FALSE))</f>
        <v>1.9585999999999999</v>
      </c>
      <c r="L3" s="115">
        <v>1</v>
      </c>
      <c r="M3" s="115">
        <f>INDEX('Master Data'!$B$323:$K$376,MATCH('Production Cost'!$B3,'Master Data'!$B$323:$B$376,0),MATCH('Production Cost'!F$3,'Master Data'!$B$323:$K$323,0))</f>
        <v>2</v>
      </c>
      <c r="N3" s="116" t="str">
        <f>IF(H3="Maruthi Plastics",INDEX('Master Data'!$B$202:$L$255,MATCH('Production Cost'!B3,'Master Data'!$B$202:$B$255,0),MATCH('Production Cost'!F3,'Master Data'!$B$202:$L$202,0)),INDEX('Master Data'!$B$261:$L$314,MATCH('Production Cost'!B3,'Master Data'!$B$261:$B$314,0),MATCH('Production Cost'!F3,'Master Data'!$B$261:$L$261,0)))</f>
        <v>One side Transparent Flat Bottom with Zipper (1000Gm)</v>
      </c>
      <c r="O3" s="115">
        <f t="shared" ref="O3:O38" si="0">1000/L3</f>
        <v>1000</v>
      </c>
      <c r="P3" s="117">
        <f>+VLOOKUP($N3,'Master Data'!$B:$W,IF(G3="Wholesale",21,22),FALSE)</f>
        <v>11.94</v>
      </c>
      <c r="Q3" s="164">
        <f>+P3*M3</f>
        <v>23.88</v>
      </c>
      <c r="R3" s="115">
        <f>IF(G3="Wholesale",'Master Data'!$V$127*$M3,'Master Data'!$W$127*$M3)</f>
        <v>4.4000000000000004</v>
      </c>
      <c r="S3" s="115">
        <f>IF(G3="Wholesale",'Master Data'!$V$111*$M3,'Master Data'!$W$111*$M3)</f>
        <v>6.1538461538461542</v>
      </c>
      <c r="T3" s="115">
        <f>IF(F3=1000,'Master Data'!$AF$40,IF(F3=500,'Master Data'!$AF$39,IF(F3=250,'Master Data'!$AF$39,'Master Data'!$AF$38)))</f>
        <v>11.116666666666667</v>
      </c>
      <c r="U3" s="117">
        <f>IF(F3=1000,VLOOKUP($E3,'Master Data'!$B:$W,IF(G3="Wholesale",21,22),FALSE),IF(F3=500,VLOOKUP($E3,'Master Data'!$B:$W,IF(G3="Wholesale",21,22),FALSE)/2,IF(F3=250,VLOOKUP($E3,'Master Data'!$B:$W,IF(G3="Wholesale",21,22),FALSE)/3,IF(F3=100,VLOOKUP($E3,'Master Data'!$B:$W,IF(G3="Wholesale",21,22),FALSE)/4,IF(F3=50,VLOOKUP($E3,'Master Data'!$B:$W,IF(G3="Wholesale",21,22),FALSE)/6,IF(F3=25,VLOOKUP($E3,'Master Data'!$B:$W,IF(G3="Wholesale",21,22),FALSE)/8,VLOOKUP($E3,'Master Data'!$B:$W,IF(G3="Wholesale",21,22),FALSE)/8))))))</f>
        <v>0</v>
      </c>
      <c r="V3" s="117">
        <f>+VLOOKUP($I3,'Master Data'!$B:$V,IF(G3="Wholesale",20,21),FALSE)</f>
        <v>40</v>
      </c>
      <c r="W3" s="144">
        <f>IF(F3=1000,'Master Data'!$AB$32,IF(F3=500,'Master Data'!$AB$33,IF(F3=250,'Master Data'!$AB$34,IF(F3=100,'Master Data'!$AB$35,IF(F3=50,'Master Data'!$AB$36,IF(F3=25,'Master Data'!$AB$37,'Master Data'!$AB$38))))))</f>
        <v>56.550000000000004</v>
      </c>
      <c r="X3" s="115">
        <f>+((K3*F3)+$Q3+$R3+$U3+$S3+$T3+$W3)*($J3/100)</f>
        <v>412.14010256410256</v>
      </c>
      <c r="Y3" s="127">
        <f>+(F3*K3)+Q3+R3+S3+U3+(IF(F3=1000,V3,IF(F3=500,V3/2,IF(F3=250,V3/4,IF(F3=100,V3/10,IF(F3=50,V3/20,V3/40)))))+X3)</f>
        <v>2445.1739487179489</v>
      </c>
      <c r="Z3" s="128">
        <f t="shared" ref="Z3:Z38" si="1">+Y3/L3</f>
        <v>2445.1739487179489</v>
      </c>
      <c r="AA3" s="127">
        <f>(F3*K3)+Q3+R3+S3+T3+U3+W3+X3</f>
        <v>2472.8406153846154</v>
      </c>
      <c r="AB3" s="286">
        <f>+((K3*F3)+$Q3+$R3+$U3+$S3+$T3)*($J3/100)</f>
        <v>400.83010256410262</v>
      </c>
      <c r="AC3" s="127">
        <f>(F3*K3)+Q3+R3+S3+T3+U3+AB3</f>
        <v>2404.9806153846157</v>
      </c>
      <c r="AD3" s="287">
        <f>AC3*1.5</f>
        <v>3607.4709230769236</v>
      </c>
    </row>
    <row r="4" spans="1:30" ht="30">
      <c r="A4" s="125">
        <f>+A3+1</f>
        <v>2</v>
      </c>
      <c r="B4" s="119" t="s">
        <v>35</v>
      </c>
      <c r="C4" s="120" t="s">
        <v>154</v>
      </c>
      <c r="D4" s="126" t="str">
        <f>+VLOOKUP($B4,'Master Data'!$B$20:$W$197,2,FALSE)</f>
        <v>Nadha Spices</v>
      </c>
      <c r="E4" s="116" t="s">
        <v>295</v>
      </c>
      <c r="F4" s="126">
        <v>1000</v>
      </c>
      <c r="G4" s="126" t="s">
        <v>312</v>
      </c>
      <c r="H4" s="126" t="s">
        <v>320</v>
      </c>
      <c r="I4" s="125" t="s">
        <v>371</v>
      </c>
      <c r="J4" s="116">
        <v>20</v>
      </c>
      <c r="K4" s="117">
        <f>IF(D4="In House Production",INDEX('Master Data'!$H$552:$J$580,MATCH('Production Cost'!B4,'Master Data'!$H$552:$H$580,0),3),VLOOKUP($B4,'Master Data'!$B:$W,IF(G4="Wholesale",21,22),FALSE))</f>
        <v>3.141</v>
      </c>
      <c r="L4" s="115">
        <v>1</v>
      </c>
      <c r="M4" s="115">
        <f>INDEX('Master Data'!$B$323:$K$376,MATCH('Production Cost'!$B4,'Master Data'!$B$323:$B$376,0),MATCH('Production Cost'!F$3,'Master Data'!$B$323:$K$323,0))</f>
        <v>2</v>
      </c>
      <c r="N4" s="116" t="str">
        <f>IF(H4="Maruthi Plastics",INDEX('Master Data'!$B$202:$L$255,MATCH('Production Cost'!B4,'Master Data'!$B$202:$B$255,0),MATCH('Production Cost'!F4,'Master Data'!$B$202:$L$202,0)),INDEX('Master Data'!$B$261:$L$314,MATCH('Production Cost'!B4,'Master Data'!$B$261:$B$314,0),MATCH('Production Cost'!F4,'Master Data'!$B$261:$L$261,0)))</f>
        <v>One side Transparent Flat Bottom with Zipper (1000Gm)</v>
      </c>
      <c r="O4" s="115">
        <f t="shared" si="0"/>
        <v>1000</v>
      </c>
      <c r="P4" s="117">
        <f>+VLOOKUP($N4,'Master Data'!$B:$W,IF(G4="Wholesale",21,22),FALSE)</f>
        <v>11.94</v>
      </c>
      <c r="Q4" s="164">
        <f t="shared" ref="Q4:Q38" si="2">+P4*M4</f>
        <v>23.88</v>
      </c>
      <c r="R4" s="115">
        <f>IF(G4="Wholesale",'Master Data'!$V$127*$M4,'Master Data'!$W$127*$M4)</f>
        <v>4.4000000000000004</v>
      </c>
      <c r="S4" s="115">
        <f>IF(G4="Wholesale",'Master Data'!$V$111*$M4,'Master Data'!$W$111*$M4)</f>
        <v>6.1538461538461542</v>
      </c>
      <c r="T4" s="115">
        <f>IF(F4=1000,'Master Data'!$AF$40,IF(F4=500,'Master Data'!$AF$39,IF(F4=250,'Master Data'!$AF$39,'Master Data'!$AF$38)))</f>
        <v>11.116666666666667</v>
      </c>
      <c r="U4" s="117">
        <f>IF(F4=1000,VLOOKUP($E4,'Master Data'!$B:$W,IF(G4="Wholesale",21,22),FALSE),IF(F4=500,VLOOKUP($E4,'Master Data'!$B:$W,IF(G4="Wholesale",21,22),FALSE)/2,IF(F4=250,VLOOKUP($E4,'Master Data'!$B:$W,IF(G4="Wholesale",21,22),FALSE)/3,IF(F4=100,VLOOKUP($E4,'Master Data'!$B:$W,IF(G4="Wholesale",21,22),FALSE)/4,IF(F4=50,VLOOKUP($E4,'Master Data'!$B:$W,IF(G4="Wholesale",21,22),FALSE)/6,IF(F4=25,VLOOKUP($E4,'Master Data'!$B:$W,IF(G4="Wholesale",21,22),FALSE)/8,VLOOKUP($E4,'Master Data'!$B:$W,IF(G4="Wholesale",21,22),FALSE)/8))))))</f>
        <v>0</v>
      </c>
      <c r="V4" s="117">
        <f>+VLOOKUP($I4,'Master Data'!$B:$V,IF(G4="Wholesale",20,21),FALSE)</f>
        <v>40</v>
      </c>
      <c r="W4" s="144">
        <f>IF(F4=1000,'Master Data'!$AB$32,IF(F4=500,'Master Data'!$AB$33,IF(F4=250,'Master Data'!$AB$34,IF(F4=100,'Master Data'!$AB$35,IF(F4=50,'Master Data'!$AB$36,IF(F4=25,'Master Data'!$AB$37,'Master Data'!$AB$38))))))</f>
        <v>56.550000000000004</v>
      </c>
      <c r="X4" s="115">
        <f t="shared" ref="X4:X38" si="3">+((K4*F4)+$Q4+$R4+$U4+S4)*($J4/100)</f>
        <v>635.08676923076928</v>
      </c>
      <c r="Y4" s="127">
        <f t="shared" ref="Y4:Y72" si="4">+(F4*K4)+Q4+R4+S4+U4+(IF(F4=1000,V4,IF(F4=500,V4/2,IF(F4=250,V4/4,IF(F4=100,V4/10,IF(F4=50,V4/20,V4/40)))))+X4)</f>
        <v>3850.5206153846157</v>
      </c>
      <c r="Z4" s="128">
        <f t="shared" si="1"/>
        <v>3850.5206153846157</v>
      </c>
      <c r="AA4" s="127">
        <f t="shared" ref="AA4:AA38" si="5">(F4*K4)+Q4+R4+S4+T4+U4+W4+X4</f>
        <v>3878.1872820512826</v>
      </c>
      <c r="AB4" s="286">
        <f t="shared" ref="AB4:AB72" si="6">+((K4*F4)+$Q4+$R4+$U4+$S4+$T4)*($J4/100)</f>
        <v>637.31010256410264</v>
      </c>
      <c r="AC4" s="127">
        <f t="shared" ref="AC4:AC72" si="7">(F4*K4)+Q4+R4+S4+T4+U4+AB4</f>
        <v>3823.8606153846158</v>
      </c>
      <c r="AD4" s="287">
        <f t="shared" ref="AD4:AD72" si="8">AC4*1.5</f>
        <v>5735.7909230769237</v>
      </c>
    </row>
    <row r="5" spans="1:30" ht="30">
      <c r="A5" s="125">
        <f t="shared" ref="A5:A73" si="9">+A4+1</f>
        <v>3</v>
      </c>
      <c r="B5" s="119" t="s">
        <v>543</v>
      </c>
      <c r="C5" s="121" t="s">
        <v>156</v>
      </c>
      <c r="D5" s="126" t="str">
        <f>+VLOOKUP($B5,'Master Data'!$B$20:$W$197,2,FALSE)</f>
        <v>Ali Kikabai</v>
      </c>
      <c r="E5" s="116" t="s">
        <v>295</v>
      </c>
      <c r="F5" s="126">
        <v>1000</v>
      </c>
      <c r="G5" s="126" t="s">
        <v>312</v>
      </c>
      <c r="H5" s="126" t="s">
        <v>320</v>
      </c>
      <c r="I5" s="125" t="s">
        <v>371</v>
      </c>
      <c r="J5" s="116">
        <v>20</v>
      </c>
      <c r="K5" s="117">
        <f>IF(D5="In House Production",INDEX('Master Data'!$H$552:$J$580,MATCH('Production Cost'!B5,'Master Data'!$H$552:$H$580,0),3),VLOOKUP($B5,'Master Data'!$B:$W,IF(G5="Wholesale",21,22),FALSE))</f>
        <v>0.28860000000000002</v>
      </c>
      <c r="L5" s="115">
        <v>1</v>
      </c>
      <c r="M5" s="115">
        <f>INDEX('Master Data'!$B$323:$K$376,MATCH('Production Cost'!$B5,'Master Data'!$B$323:$B$376,0),MATCH('Production Cost'!F$3,'Master Data'!$B$323:$K$323,0))</f>
        <v>4</v>
      </c>
      <c r="N5" s="116" t="str">
        <f>IF(H5="Maruthi Plastics",INDEX('Master Data'!$B$202:$L$255,MATCH('Production Cost'!B5,'Master Data'!$B$202:$B$255,0),MATCH('Production Cost'!F5,'Master Data'!$B$202:$L$202,0)),INDEX('Master Data'!$B$261:$L$314,MATCH('Production Cost'!B5,'Master Data'!$B$261:$B$314,0),MATCH('Production Cost'!F5,'Master Data'!$B$261:$L$261,0)))</f>
        <v>One side Transparent Flat Bottom with Zipper (1000Gm)</v>
      </c>
      <c r="O5" s="115">
        <f t="shared" si="0"/>
        <v>1000</v>
      </c>
      <c r="P5" s="117">
        <f>+VLOOKUP($N5,'Master Data'!$B:$W,IF(G5="Wholesale",21,22),FALSE)</f>
        <v>11.94</v>
      </c>
      <c r="Q5" s="164">
        <f t="shared" si="2"/>
        <v>47.76</v>
      </c>
      <c r="R5" s="115">
        <f>IF(G5="Wholesale",'Master Data'!$V$127*$M5,'Master Data'!$W$127*$M5)</f>
        <v>8.8000000000000007</v>
      </c>
      <c r="S5" s="115">
        <f>IF(G5="Wholesale",'Master Data'!$V$111*$M5,'Master Data'!$W$111*$M5)</f>
        <v>12.307692307692308</v>
      </c>
      <c r="T5" s="115">
        <f>IF(F5=1000,'Master Data'!$AF$40,IF(F5=500,'Master Data'!$AF$39,IF(F5=250,'Master Data'!$AF$39,'Master Data'!$AF$38)))</f>
        <v>11.116666666666667</v>
      </c>
      <c r="U5" s="117">
        <f>IF(F5=1000,VLOOKUP($E5,'Master Data'!$B:$W,IF(G5="Wholesale",21,22),FALSE),IF(F5=500,VLOOKUP($E5,'Master Data'!$B:$W,IF(G5="Wholesale",21,22),FALSE)/2,IF(F5=250,VLOOKUP($E5,'Master Data'!$B:$W,IF(G5="Wholesale",21,22),FALSE)/3,IF(F5=100,VLOOKUP($E5,'Master Data'!$B:$W,IF(G5="Wholesale",21,22),FALSE)/4,IF(F5=50,VLOOKUP($E5,'Master Data'!$B:$W,IF(G5="Wholesale",21,22),FALSE)/6,IF(F5=25,VLOOKUP($E5,'Master Data'!$B:$W,IF(G5="Wholesale",21,22),FALSE)/8,VLOOKUP($E5,'Master Data'!$B:$W,IF(G5="Wholesale",21,22),FALSE)/8))))))</f>
        <v>0</v>
      </c>
      <c r="V5" s="117">
        <f>+VLOOKUP($I5,'Master Data'!$B:$V,IF(G5="Wholesale",20,21),FALSE)</f>
        <v>40</v>
      </c>
      <c r="W5" s="144">
        <f>IF(F5=1000,'Master Data'!$AB$32,IF(F5=500,'Master Data'!$AB$33,IF(F5=250,'Master Data'!$AB$34,IF(F5=100,'Master Data'!$AB$35,IF(F5=50,'Master Data'!$AB$36,IF(F5=25,'Master Data'!$AB$37,'Master Data'!$AB$38))))))</f>
        <v>56.550000000000004</v>
      </c>
      <c r="X5" s="115">
        <f t="shared" si="3"/>
        <v>71.493538461538478</v>
      </c>
      <c r="Y5" s="127">
        <f t="shared" si="4"/>
        <v>468.96123076923084</v>
      </c>
      <c r="Z5" s="128">
        <f t="shared" si="1"/>
        <v>468.96123076923084</v>
      </c>
      <c r="AA5" s="127">
        <f t="shared" si="5"/>
        <v>496.62789743589752</v>
      </c>
      <c r="AB5" s="286">
        <f t="shared" si="6"/>
        <v>73.716871794871807</v>
      </c>
      <c r="AC5" s="127">
        <f t="shared" si="7"/>
        <v>442.30123076923081</v>
      </c>
      <c r="AD5" s="287">
        <f t="shared" si="8"/>
        <v>663.45184615384619</v>
      </c>
    </row>
    <row r="6" spans="1:30" ht="30">
      <c r="A6" s="125">
        <f t="shared" si="9"/>
        <v>4</v>
      </c>
      <c r="B6" s="119" t="s">
        <v>1</v>
      </c>
      <c r="C6" s="120" t="s">
        <v>157</v>
      </c>
      <c r="D6" s="126" t="str">
        <f>+VLOOKUP($B6,'Master Data'!$B$20:$W$197,2,FALSE)</f>
        <v>Nadha Spices</v>
      </c>
      <c r="E6" s="116" t="s">
        <v>295</v>
      </c>
      <c r="F6" s="126">
        <v>1000</v>
      </c>
      <c r="G6" s="126" t="s">
        <v>312</v>
      </c>
      <c r="H6" s="126" t="s">
        <v>320</v>
      </c>
      <c r="I6" s="125" t="s">
        <v>371</v>
      </c>
      <c r="J6" s="116">
        <v>20</v>
      </c>
      <c r="K6" s="117">
        <f>IF(D6="In House Production",INDEX('Master Data'!$H$552:$J$580,MATCH('Production Cost'!B6,'Master Data'!$H$552:$H$580,0),3),VLOOKUP($B6,'Master Data'!$B:$W,IF(G6="Wholesale",21,22),FALSE))</f>
        <v>1.1910000000000001</v>
      </c>
      <c r="L6" s="115">
        <v>1</v>
      </c>
      <c r="M6" s="115">
        <f>INDEX('Master Data'!$B$323:$K$376,MATCH('Production Cost'!$B6,'Master Data'!$B$323:$B$376,0),MATCH('Production Cost'!F$3,'Master Data'!$B$323:$K$323,0))</f>
        <v>2</v>
      </c>
      <c r="N6" s="116" t="str">
        <f>IF(H6="Maruthi Plastics",INDEX('Master Data'!$B$202:$L$255,MATCH('Production Cost'!B6,'Master Data'!$B$202:$B$255,0),MATCH('Production Cost'!F6,'Master Data'!$B$202:$L$202,0)),INDEX('Master Data'!$B$261:$L$314,MATCH('Production Cost'!B6,'Master Data'!$B$261:$B$314,0),MATCH('Production Cost'!F6,'Master Data'!$B$261:$L$261,0)))</f>
        <v>One side Transparent Flat Bottom with Zipper (1000Gm)</v>
      </c>
      <c r="O6" s="115">
        <f t="shared" si="0"/>
        <v>1000</v>
      </c>
      <c r="P6" s="117">
        <f>+VLOOKUP($N6,'Master Data'!$B:$W,IF(G6="Wholesale",21,22),FALSE)</f>
        <v>11.94</v>
      </c>
      <c r="Q6" s="164">
        <f t="shared" si="2"/>
        <v>23.88</v>
      </c>
      <c r="R6" s="115">
        <f>IF(G6="Wholesale",'Master Data'!$V$127*$M6,'Master Data'!$W$127*$M6)</f>
        <v>4.4000000000000004</v>
      </c>
      <c r="S6" s="115">
        <f>IF(G6="Wholesale",'Master Data'!$V$111*$M6,'Master Data'!$W$111*$M6)</f>
        <v>6.1538461538461542</v>
      </c>
      <c r="T6" s="115">
        <f>IF(F6=1000,'Master Data'!$AF$40,IF(F6=500,'Master Data'!$AF$39,IF(F6=250,'Master Data'!$AF$39,'Master Data'!$AF$38)))</f>
        <v>11.116666666666667</v>
      </c>
      <c r="U6" s="117">
        <f>IF(F6=1000,VLOOKUP($E6,'Master Data'!$B:$W,IF(G6="Wholesale",21,22),FALSE),IF(F6=500,VLOOKUP($E6,'Master Data'!$B:$W,IF(G6="Wholesale",21,22),FALSE)/2,IF(F6=250,VLOOKUP($E6,'Master Data'!$B:$W,IF(G6="Wholesale",21,22),FALSE)/3,IF(F6=100,VLOOKUP($E6,'Master Data'!$B:$W,IF(G6="Wholesale",21,22),FALSE)/4,IF(F6=50,VLOOKUP($E6,'Master Data'!$B:$W,IF(G6="Wholesale",21,22),FALSE)/6,IF(F6=25,VLOOKUP($E6,'Master Data'!$B:$W,IF(G6="Wholesale",21,22),FALSE)/8,VLOOKUP($E6,'Master Data'!$B:$W,IF(G6="Wholesale",21,22),FALSE)/8))))))</f>
        <v>0</v>
      </c>
      <c r="V6" s="117">
        <f>+VLOOKUP($I6,'Master Data'!$B:$V,IF(G6="Wholesale",20,21),FALSE)</f>
        <v>40</v>
      </c>
      <c r="W6" s="144">
        <f>IF(F6=1000,'Master Data'!$AB$32,IF(F6=500,'Master Data'!$AB$33,IF(F6=250,'Master Data'!$AB$34,IF(F6=100,'Master Data'!$AB$35,IF(F6=50,'Master Data'!$AB$36,IF(F6=25,'Master Data'!$AB$37,'Master Data'!$AB$38))))))</f>
        <v>56.550000000000004</v>
      </c>
      <c r="X6" s="115">
        <f t="shared" si="3"/>
        <v>245.08676923076928</v>
      </c>
      <c r="Y6" s="127">
        <f t="shared" si="4"/>
        <v>1510.5206153846157</v>
      </c>
      <c r="Z6" s="128">
        <f t="shared" si="1"/>
        <v>1510.5206153846157</v>
      </c>
      <c r="AA6" s="127">
        <f>(F6*K6)+Q6+R6+S6+T6+U6+W6+X6</f>
        <v>1538.1872820512822</v>
      </c>
      <c r="AB6" s="286">
        <f t="shared" si="6"/>
        <v>247.31010256410261</v>
      </c>
      <c r="AC6" s="127">
        <f t="shared" si="7"/>
        <v>1483.8606153846156</v>
      </c>
      <c r="AD6" s="287">
        <f t="shared" si="8"/>
        <v>2225.7909230769233</v>
      </c>
    </row>
    <row r="7" spans="1:30" ht="30">
      <c r="A7" s="125">
        <f t="shared" si="9"/>
        <v>5</v>
      </c>
      <c r="B7" s="119" t="s">
        <v>158</v>
      </c>
      <c r="C7" s="121" t="s">
        <v>159</v>
      </c>
      <c r="D7" s="126" t="str">
        <f>+VLOOKUP($B7,'Master Data'!$B$20:$W$197,2,FALSE)</f>
        <v>Ali Kikabai</v>
      </c>
      <c r="E7" s="116" t="s">
        <v>295</v>
      </c>
      <c r="F7" s="126">
        <v>1000</v>
      </c>
      <c r="G7" s="126" t="s">
        <v>312</v>
      </c>
      <c r="H7" s="126" t="s">
        <v>320</v>
      </c>
      <c r="I7" s="125" t="s">
        <v>371</v>
      </c>
      <c r="J7" s="116">
        <v>20</v>
      </c>
      <c r="K7" s="117">
        <f>IF(D7="In House Production",INDEX('Master Data'!$H$552:$J$580,MATCH('Production Cost'!B7,'Master Data'!$H$552:$H$580,0),3),VLOOKUP($B7,'Master Data'!$B:$W,IF(G7="Wholesale",21,22),FALSE))</f>
        <v>0.1736</v>
      </c>
      <c r="L7" s="115">
        <v>1</v>
      </c>
      <c r="M7" s="115">
        <f>INDEX('Master Data'!$B$323:$K$376,MATCH('Production Cost'!$B7,'Master Data'!$B$323:$B$376,0),MATCH('Production Cost'!F$3,'Master Data'!$B$323:$K$323,0))</f>
        <v>4</v>
      </c>
      <c r="N7" s="116" t="str">
        <f>IF(H7="Maruthi Plastics",INDEX('Master Data'!$B$202:$L$255,MATCH('Production Cost'!B7,'Master Data'!$B$202:$B$255,0),MATCH('Production Cost'!F7,'Master Data'!$B$202:$L$202,0)),INDEX('Master Data'!$B$261:$L$314,MATCH('Production Cost'!B7,'Master Data'!$B$261:$B$314,0),MATCH('Production Cost'!F7,'Master Data'!$B$261:$L$261,0)))</f>
        <v>One side Transparent Flat Bottom with Zipper (1000Gm)</v>
      </c>
      <c r="O7" s="115">
        <f t="shared" si="0"/>
        <v>1000</v>
      </c>
      <c r="P7" s="117">
        <f>+VLOOKUP($N7,'Master Data'!$B:$W,IF(G7="Wholesale",21,22),FALSE)</f>
        <v>11.94</v>
      </c>
      <c r="Q7" s="164">
        <f t="shared" si="2"/>
        <v>47.76</v>
      </c>
      <c r="R7" s="115">
        <f>IF(G7="Wholesale",'Master Data'!$V$127*$M7,'Master Data'!$W$127*$M7)</f>
        <v>8.8000000000000007</v>
      </c>
      <c r="S7" s="115">
        <f>IF(G7="Wholesale",'Master Data'!$V$111*$M7,'Master Data'!$W$111*$M7)</f>
        <v>12.307692307692308</v>
      </c>
      <c r="T7" s="115">
        <f>IF(F7=1000,'Master Data'!$AF$40,IF(F7=500,'Master Data'!$AF$39,IF(F7=250,'Master Data'!$AF$39,'Master Data'!$AF$38)))</f>
        <v>11.116666666666667</v>
      </c>
      <c r="U7" s="117">
        <f>IF(F7=1000,VLOOKUP($E7,'Master Data'!$B:$W,IF(G7="Wholesale",21,22),FALSE),IF(F7=500,VLOOKUP($E7,'Master Data'!$B:$W,IF(G7="Wholesale",21,22),FALSE)/2,IF(F7=250,VLOOKUP($E7,'Master Data'!$B:$W,IF(G7="Wholesale",21,22),FALSE)/3,IF(F7=100,VLOOKUP($E7,'Master Data'!$B:$W,IF(G7="Wholesale",21,22),FALSE)/4,IF(F7=50,VLOOKUP($E7,'Master Data'!$B:$W,IF(G7="Wholesale",21,22),FALSE)/6,IF(F7=25,VLOOKUP($E7,'Master Data'!$B:$W,IF(G7="Wholesale",21,22),FALSE)/8,VLOOKUP($E7,'Master Data'!$B:$W,IF(G7="Wholesale",21,22),FALSE)/8))))))</f>
        <v>0</v>
      </c>
      <c r="V7" s="117">
        <f>+VLOOKUP($I7,'Master Data'!$B:$V,IF(G7="Wholesale",20,21),FALSE)</f>
        <v>40</v>
      </c>
      <c r="W7" s="144">
        <f>IF(F7=1000,'Master Data'!$AB$32,IF(F7=500,'Master Data'!$AB$33,IF(F7=250,'Master Data'!$AB$34,IF(F7=100,'Master Data'!$AB$35,IF(F7=50,'Master Data'!$AB$36,IF(F7=25,'Master Data'!$AB$37,'Master Data'!$AB$38))))))</f>
        <v>56.550000000000004</v>
      </c>
      <c r="X7" s="115">
        <f t="shared" si="3"/>
        <v>48.493538461538463</v>
      </c>
      <c r="Y7" s="127">
        <f t="shared" si="4"/>
        <v>330.96123076923078</v>
      </c>
      <c r="Z7" s="128">
        <f t="shared" si="1"/>
        <v>330.96123076923078</v>
      </c>
      <c r="AA7" s="127">
        <f t="shared" si="5"/>
        <v>358.62789743589747</v>
      </c>
      <c r="AB7" s="286">
        <f t="shared" si="6"/>
        <v>50.7168717948718</v>
      </c>
      <c r="AC7" s="127">
        <f t="shared" si="7"/>
        <v>304.30123076923081</v>
      </c>
      <c r="AD7" s="287">
        <f t="shared" si="8"/>
        <v>456.45184615384619</v>
      </c>
    </row>
    <row r="8" spans="1:30" ht="30">
      <c r="A8" s="125">
        <f t="shared" si="9"/>
        <v>6</v>
      </c>
      <c r="B8" s="119" t="s">
        <v>5</v>
      </c>
      <c r="C8" s="121" t="s">
        <v>160</v>
      </c>
      <c r="D8" s="126" t="str">
        <f>+VLOOKUP($B8,'Master Data'!$B$20:$W$197,2,FALSE)</f>
        <v>Eternal Blooms</v>
      </c>
      <c r="E8" s="116" t="s">
        <v>295</v>
      </c>
      <c r="F8" s="126">
        <v>1000</v>
      </c>
      <c r="G8" s="126" t="s">
        <v>312</v>
      </c>
      <c r="H8" s="126" t="s">
        <v>320</v>
      </c>
      <c r="I8" s="125" t="s">
        <v>371</v>
      </c>
      <c r="J8" s="116">
        <v>20</v>
      </c>
      <c r="K8" s="117">
        <f>IF(D8="In House Production",INDEX('Master Data'!$H$552:$J$580,MATCH('Production Cost'!B8,'Master Data'!$H$552:$H$580,0),3),VLOOKUP($B8,'Master Data'!$B:$W,IF(G8="Wholesale",21,22),FALSE))</f>
        <v>1.006</v>
      </c>
      <c r="L8" s="115">
        <v>1</v>
      </c>
      <c r="M8" s="115">
        <f>INDEX('Master Data'!$B$323:$K$376,MATCH('Production Cost'!$B8,'Master Data'!$B$323:$B$376,0),MATCH('Production Cost'!F$3,'Master Data'!$B$323:$K$323,0))</f>
        <v>4</v>
      </c>
      <c r="N8" s="116" t="str">
        <f>IF(H8="Maruthi Plastics",INDEX('Master Data'!$B$202:$L$255,MATCH('Production Cost'!B8,'Master Data'!$B$202:$B$255,0),MATCH('Production Cost'!F8,'Master Data'!$B$202:$L$202,0)),INDEX('Master Data'!$B$261:$L$314,MATCH('Production Cost'!B8,'Master Data'!$B$261:$B$314,0),MATCH('Production Cost'!F8,'Master Data'!$B$261:$L$261,0)))</f>
        <v>One side Transparent Flat Bottom with Zipper (1000Gm)</v>
      </c>
      <c r="O8" s="115">
        <f t="shared" si="0"/>
        <v>1000</v>
      </c>
      <c r="P8" s="117">
        <f>+VLOOKUP($N8,'Master Data'!$B:$W,IF(G8="Wholesale",21,22),FALSE)</f>
        <v>11.94</v>
      </c>
      <c r="Q8" s="164">
        <f t="shared" si="2"/>
        <v>47.76</v>
      </c>
      <c r="R8" s="115">
        <f>IF(G8="Wholesale",'Master Data'!$V$127*$M8,'Master Data'!$W$127*$M8)</f>
        <v>8.8000000000000007</v>
      </c>
      <c r="S8" s="115">
        <f>IF(G8="Wholesale",'Master Data'!$V$111*$M8,'Master Data'!$W$111*$M8)</f>
        <v>12.307692307692308</v>
      </c>
      <c r="T8" s="115">
        <f>IF(F8=1000,'Master Data'!$AF$40,IF(F8=500,'Master Data'!$AF$39,IF(F8=250,'Master Data'!$AF$39,'Master Data'!$AF$38)))</f>
        <v>11.116666666666667</v>
      </c>
      <c r="U8" s="117">
        <f>IF(F8=1000,VLOOKUP($E8,'Master Data'!$B:$W,IF(G8="Wholesale",21,22),FALSE),IF(F8=500,VLOOKUP($E8,'Master Data'!$B:$W,IF(G8="Wholesale",21,22),FALSE)/2,IF(F8=250,VLOOKUP($E8,'Master Data'!$B:$W,IF(G8="Wholesale",21,22),FALSE)/3,IF(F8=100,VLOOKUP($E8,'Master Data'!$B:$W,IF(G8="Wholesale",21,22),FALSE)/4,IF(F8=50,VLOOKUP($E8,'Master Data'!$B:$W,IF(G8="Wholesale",21,22),FALSE)/6,IF(F8=25,VLOOKUP($E8,'Master Data'!$B:$W,IF(G8="Wholesale",21,22),FALSE)/8,VLOOKUP($E8,'Master Data'!$B:$W,IF(G8="Wholesale",21,22),FALSE)/8))))))</f>
        <v>0</v>
      </c>
      <c r="V8" s="117">
        <f>+VLOOKUP($I8,'Master Data'!$B:$V,IF(G8="Wholesale",20,21),FALSE)</f>
        <v>40</v>
      </c>
      <c r="W8" s="144">
        <f>IF(F8=1000,'Master Data'!$AB$32,IF(F8=500,'Master Data'!$AB$33,IF(F8=250,'Master Data'!$AB$34,IF(F8=100,'Master Data'!$AB$35,IF(F8=50,'Master Data'!$AB$36,IF(F8=25,'Master Data'!$AB$37,'Master Data'!$AB$38))))))</f>
        <v>56.550000000000004</v>
      </c>
      <c r="X8" s="115">
        <f t="shared" si="3"/>
        <v>214.97353846153848</v>
      </c>
      <c r="Y8" s="127">
        <f t="shared" si="4"/>
        <v>1329.8412307692308</v>
      </c>
      <c r="Z8" s="128">
        <f t="shared" si="1"/>
        <v>1329.8412307692308</v>
      </c>
      <c r="AA8" s="127">
        <f t="shared" si="5"/>
        <v>1357.5078974358973</v>
      </c>
      <c r="AB8" s="286">
        <f t="shared" si="6"/>
        <v>217.19687179487178</v>
      </c>
      <c r="AC8" s="127">
        <f t="shared" si="7"/>
        <v>1303.1812307692308</v>
      </c>
      <c r="AD8" s="287">
        <f t="shared" si="8"/>
        <v>1954.7718461538461</v>
      </c>
    </row>
    <row r="9" spans="1:30" ht="30">
      <c r="A9" s="125">
        <f t="shared" si="9"/>
        <v>7</v>
      </c>
      <c r="B9" s="119" t="s">
        <v>161</v>
      </c>
      <c r="C9" s="121" t="s">
        <v>162</v>
      </c>
      <c r="D9" s="126" t="str">
        <f>+VLOOKUP($B9,'Master Data'!$B$20:$W$197,2,FALSE)</f>
        <v>MS Malagi</v>
      </c>
      <c r="E9" s="116" t="s">
        <v>295</v>
      </c>
      <c r="F9" s="126">
        <v>1000</v>
      </c>
      <c r="G9" s="126" t="s">
        <v>312</v>
      </c>
      <c r="H9" s="126" t="s">
        <v>320</v>
      </c>
      <c r="I9" s="125" t="s">
        <v>371</v>
      </c>
      <c r="J9" s="116">
        <v>20</v>
      </c>
      <c r="K9" s="117">
        <f>IF(D9="In House Production",INDEX('Master Data'!$H$552:$J$580,MATCH('Production Cost'!B9,'Master Data'!$H$552:$H$580,0),3),VLOOKUP($B9,'Master Data'!$B:$W,IF(G9="Wholesale",21,22),FALSE))</f>
        <v>0.61099999999999999</v>
      </c>
      <c r="L9" s="115">
        <v>1</v>
      </c>
      <c r="M9" s="115">
        <f>INDEX('Master Data'!$B$323:$K$376,MATCH('Production Cost'!$B9,'Master Data'!$B$323:$B$376,0),MATCH('Production Cost'!F$3,'Master Data'!$B$323:$K$323,0))</f>
        <v>4</v>
      </c>
      <c r="N9" s="116" t="str">
        <f>IF(H9="Maruthi Plastics",INDEX('Master Data'!$B$202:$L$255,MATCH('Production Cost'!B9,'Master Data'!$B$202:$B$255,0),MATCH('Production Cost'!F9,'Master Data'!$B$202:$L$202,0)),INDEX('Master Data'!$B$261:$L$314,MATCH('Production Cost'!B9,'Master Data'!$B$261:$B$314,0),MATCH('Production Cost'!F9,'Master Data'!$B$261:$L$261,0)))</f>
        <v>One side Transparent Flat Bottom with Zipper (1000Gm)</v>
      </c>
      <c r="O9" s="115">
        <f t="shared" si="0"/>
        <v>1000</v>
      </c>
      <c r="P9" s="117">
        <f>+VLOOKUP($N9,'Master Data'!$B:$W,IF(G9="Wholesale",21,22),FALSE)</f>
        <v>11.94</v>
      </c>
      <c r="Q9" s="164">
        <f t="shared" si="2"/>
        <v>47.76</v>
      </c>
      <c r="R9" s="115">
        <f>IF(G9="Wholesale",'Master Data'!$V$127*$M9,'Master Data'!$W$127*$M9)</f>
        <v>8.8000000000000007</v>
      </c>
      <c r="S9" s="115">
        <f>IF(G9="Wholesale",'Master Data'!$V$111*$M9,'Master Data'!$W$111*$M9)</f>
        <v>12.307692307692308</v>
      </c>
      <c r="T9" s="115">
        <f>IF(F9=1000,'Master Data'!$AF$40,IF(F9=500,'Master Data'!$AF$39,IF(F9=250,'Master Data'!$AF$39,'Master Data'!$AF$38)))</f>
        <v>11.116666666666667</v>
      </c>
      <c r="U9" s="117">
        <f>IF(F9=1000,VLOOKUP($E9,'Master Data'!$B:$W,IF(G9="Wholesale",21,22),FALSE),IF(F9=500,VLOOKUP($E9,'Master Data'!$B:$W,IF(G9="Wholesale",21,22),FALSE)/2,IF(F9=250,VLOOKUP($E9,'Master Data'!$B:$W,IF(G9="Wholesale",21,22),FALSE)/3,IF(F9=100,VLOOKUP($E9,'Master Data'!$B:$W,IF(G9="Wholesale",21,22),FALSE)/4,IF(F9=50,VLOOKUP($E9,'Master Data'!$B:$W,IF(G9="Wholesale",21,22),FALSE)/6,IF(F9=25,VLOOKUP($E9,'Master Data'!$B:$W,IF(G9="Wholesale",21,22),FALSE)/8,VLOOKUP($E9,'Master Data'!$B:$W,IF(G9="Wholesale",21,22),FALSE)/8))))))</f>
        <v>0</v>
      </c>
      <c r="V9" s="117">
        <f>+VLOOKUP($I9,'Master Data'!$B:$V,IF(G9="Wholesale",20,21),FALSE)</f>
        <v>40</v>
      </c>
      <c r="W9" s="144">
        <f>IF(F9=1000,'Master Data'!$AB$32,IF(F9=500,'Master Data'!$AB$33,IF(F9=250,'Master Data'!$AB$34,IF(F9=100,'Master Data'!$AB$35,IF(F9=50,'Master Data'!$AB$36,IF(F9=25,'Master Data'!$AB$37,'Master Data'!$AB$38))))))</f>
        <v>56.550000000000004</v>
      </c>
      <c r="X9" s="115">
        <f t="shared" si="3"/>
        <v>135.97353846153845</v>
      </c>
      <c r="Y9" s="127">
        <f t="shared" si="4"/>
        <v>855.84123076923061</v>
      </c>
      <c r="Z9" s="128">
        <f t="shared" si="1"/>
        <v>855.84123076923061</v>
      </c>
      <c r="AA9" s="127">
        <f t="shared" si="5"/>
        <v>883.50789743589735</v>
      </c>
      <c r="AB9" s="286">
        <f t="shared" si="6"/>
        <v>138.19687179487178</v>
      </c>
      <c r="AC9" s="127">
        <f t="shared" si="7"/>
        <v>829.18123076923064</v>
      </c>
      <c r="AD9" s="287">
        <f t="shared" si="8"/>
        <v>1243.7718461538459</v>
      </c>
    </row>
    <row r="10" spans="1:30" ht="30">
      <c r="A10" s="125">
        <f t="shared" si="9"/>
        <v>8</v>
      </c>
      <c r="B10" s="119" t="s">
        <v>163</v>
      </c>
      <c r="C10" s="121" t="s">
        <v>164</v>
      </c>
      <c r="D10" s="126" t="str">
        <f>+VLOOKUP($B10,'Master Data'!$B$20:$W$197,2,FALSE)</f>
        <v>MS Malagi</v>
      </c>
      <c r="E10" s="116" t="s">
        <v>295</v>
      </c>
      <c r="F10" s="126">
        <v>1000</v>
      </c>
      <c r="G10" s="126" t="s">
        <v>312</v>
      </c>
      <c r="H10" s="126" t="s">
        <v>320</v>
      </c>
      <c r="I10" s="125" t="s">
        <v>371</v>
      </c>
      <c r="J10" s="116">
        <v>20</v>
      </c>
      <c r="K10" s="117">
        <f>IF(D10="In House Production",INDEX('Master Data'!$H$552:$J$580,MATCH('Production Cost'!B10,'Master Data'!$H$552:$H$580,0),3),VLOOKUP($B10,'Master Data'!$B:$W,IF(G10="Wholesale",21,22),FALSE))</f>
        <v>0.64100000000000001</v>
      </c>
      <c r="L10" s="115">
        <v>1</v>
      </c>
      <c r="M10" s="115">
        <f>INDEX('Master Data'!$B$323:$K$376,MATCH('Production Cost'!$B10,'Master Data'!$B$323:$B$376,0),MATCH('Production Cost'!F$3,'Master Data'!$B$323:$K$323,0))</f>
        <v>4</v>
      </c>
      <c r="N10" s="116" t="str">
        <f>IF(H10="Maruthi Plastics",INDEX('Master Data'!$B$202:$L$255,MATCH('Production Cost'!B10,'Master Data'!$B$202:$B$255,0),MATCH('Production Cost'!F10,'Master Data'!$B$202:$L$202,0)),INDEX('Master Data'!$B$261:$L$314,MATCH('Production Cost'!B10,'Master Data'!$B$261:$B$314,0),MATCH('Production Cost'!F10,'Master Data'!$B$261:$L$261,0)))</f>
        <v>One side Transparent Flat Bottom with Zipper (1000Gm)</v>
      </c>
      <c r="O10" s="115">
        <f t="shared" si="0"/>
        <v>1000</v>
      </c>
      <c r="P10" s="117">
        <f>+VLOOKUP($N10,'Master Data'!$B:$W,IF(G10="Wholesale",21,22),FALSE)</f>
        <v>11.94</v>
      </c>
      <c r="Q10" s="164">
        <f t="shared" si="2"/>
        <v>47.76</v>
      </c>
      <c r="R10" s="115">
        <f>IF(G10="Wholesale",'Master Data'!$V$127*$M10,'Master Data'!$W$127*$M10)</f>
        <v>8.8000000000000007</v>
      </c>
      <c r="S10" s="115">
        <f>IF(G10="Wholesale",'Master Data'!$V$111*$M10,'Master Data'!$W$111*$M10)</f>
        <v>12.307692307692308</v>
      </c>
      <c r="T10" s="115">
        <f>IF(F10=1000,'Master Data'!$AF$40,IF(F10=500,'Master Data'!$AF$39,IF(F10=250,'Master Data'!$AF$39,'Master Data'!$AF$38)))</f>
        <v>11.116666666666667</v>
      </c>
      <c r="U10" s="117">
        <f>IF(F10=1000,VLOOKUP($E10,'Master Data'!$B:$W,IF(G10="Wholesale",21,22),FALSE),IF(F10=500,VLOOKUP($E10,'Master Data'!$B:$W,IF(G10="Wholesale",21,22),FALSE)/2,IF(F10=250,VLOOKUP($E10,'Master Data'!$B:$W,IF(G10="Wholesale",21,22),FALSE)/3,IF(F10=100,VLOOKUP($E10,'Master Data'!$B:$W,IF(G10="Wholesale",21,22),FALSE)/4,IF(F10=50,VLOOKUP($E10,'Master Data'!$B:$W,IF(G10="Wholesale",21,22),FALSE)/6,IF(F10=25,VLOOKUP($E10,'Master Data'!$B:$W,IF(G10="Wholesale",21,22),FALSE)/8,VLOOKUP($E10,'Master Data'!$B:$W,IF(G10="Wholesale",21,22),FALSE)/8))))))</f>
        <v>0</v>
      </c>
      <c r="V10" s="117">
        <f>+VLOOKUP($I10,'Master Data'!$B:$V,IF(G10="Wholesale",20,21),FALSE)</f>
        <v>40</v>
      </c>
      <c r="W10" s="144">
        <f>IF(F10=1000,'Master Data'!$AB$32,IF(F10=500,'Master Data'!$AB$33,IF(F10=250,'Master Data'!$AB$34,IF(F10=100,'Master Data'!$AB$35,IF(F10=50,'Master Data'!$AB$36,IF(F10=25,'Master Data'!$AB$37,'Master Data'!$AB$38))))))</f>
        <v>56.550000000000004</v>
      </c>
      <c r="X10" s="115">
        <f t="shared" si="3"/>
        <v>141.97353846153845</v>
      </c>
      <c r="Y10" s="127">
        <f t="shared" si="4"/>
        <v>891.84123076923061</v>
      </c>
      <c r="Z10" s="128">
        <f t="shared" si="1"/>
        <v>891.84123076923061</v>
      </c>
      <c r="AA10" s="127">
        <f t="shared" si="5"/>
        <v>919.50789743589735</v>
      </c>
      <c r="AB10" s="286">
        <f t="shared" si="6"/>
        <v>144.19687179487178</v>
      </c>
      <c r="AC10" s="127">
        <f t="shared" si="7"/>
        <v>865.18123076923064</v>
      </c>
      <c r="AD10" s="287">
        <f t="shared" si="8"/>
        <v>1297.7718461538459</v>
      </c>
    </row>
    <row r="11" spans="1:30" ht="30">
      <c r="A11" s="125">
        <f t="shared" si="9"/>
        <v>9</v>
      </c>
      <c r="B11" s="119" t="s">
        <v>0</v>
      </c>
      <c r="C11" s="120" t="s">
        <v>165</v>
      </c>
      <c r="D11" s="126" t="str">
        <f>+VLOOKUP($B11,'Master Data'!$B$20:$W$197,2,FALSE)</f>
        <v>Nadha Spices</v>
      </c>
      <c r="E11" s="116" t="s">
        <v>295</v>
      </c>
      <c r="F11" s="126">
        <v>1000</v>
      </c>
      <c r="G11" s="126" t="s">
        <v>312</v>
      </c>
      <c r="H11" s="126" t="s">
        <v>320</v>
      </c>
      <c r="I11" s="125" t="s">
        <v>371</v>
      </c>
      <c r="J11" s="116">
        <v>20</v>
      </c>
      <c r="K11" s="117">
        <f>IF(D11="In House Production",INDEX('Master Data'!$H$552:$J$580,MATCH('Production Cost'!B11,'Master Data'!$H$552:$H$580,0),3),VLOOKUP($B11,'Master Data'!$B:$W,IF(G11="Wholesale",21,22),FALSE))</f>
        <v>0.88100000000000001</v>
      </c>
      <c r="L11" s="115">
        <v>1</v>
      </c>
      <c r="M11" s="115">
        <f>INDEX('Master Data'!$B$323:$K$376,MATCH('Production Cost'!$B11,'Master Data'!$B$323:$B$376,0),MATCH('Production Cost'!F$3,'Master Data'!$B$323:$K$323,0))</f>
        <v>1</v>
      </c>
      <c r="N11" s="116" t="str">
        <f>IF(H11="Maruthi Plastics",INDEX('Master Data'!$B$202:$L$255,MATCH('Production Cost'!B11,'Master Data'!$B$202:$B$255,0),MATCH('Production Cost'!F11,'Master Data'!$B$202:$L$202,0)),INDEX('Master Data'!$B$261:$L$314,MATCH('Production Cost'!B11,'Master Data'!$B$261:$B$314,0),MATCH('Production Cost'!F11,'Master Data'!$B$261:$L$261,0)))</f>
        <v>One side Transparent Flat Bottom with Zipper (1000Gm)</v>
      </c>
      <c r="O11" s="115">
        <f t="shared" si="0"/>
        <v>1000</v>
      </c>
      <c r="P11" s="117">
        <f>+VLOOKUP($N11,'Master Data'!$B:$W,IF(G11="Wholesale",21,22),FALSE)</f>
        <v>11.94</v>
      </c>
      <c r="Q11" s="164">
        <f t="shared" si="2"/>
        <v>11.94</v>
      </c>
      <c r="R11" s="115">
        <f>IF(G11="Wholesale",'Master Data'!$V$127*$M11,'Master Data'!$W$127*$M11)</f>
        <v>2.2000000000000002</v>
      </c>
      <c r="S11" s="115">
        <f>IF(G11="Wholesale",'Master Data'!$V$111*$M11,'Master Data'!$W$111*$M11)</f>
        <v>3.0769230769230771</v>
      </c>
      <c r="T11" s="115">
        <f>IF(F11=1000,'Master Data'!$AF$40,IF(F11=500,'Master Data'!$AF$39,IF(F11=250,'Master Data'!$AF$39,'Master Data'!$AF$38)))</f>
        <v>11.116666666666667</v>
      </c>
      <c r="U11" s="117">
        <f>IF(F11=1000,VLOOKUP($E11,'Master Data'!$B:$W,IF(G11="Wholesale",21,22),FALSE),IF(F11=500,VLOOKUP($E11,'Master Data'!$B:$W,IF(G11="Wholesale",21,22),FALSE)/2,IF(F11=250,VLOOKUP($E11,'Master Data'!$B:$W,IF(G11="Wholesale",21,22),FALSE)/3,IF(F11=100,VLOOKUP($E11,'Master Data'!$B:$W,IF(G11="Wholesale",21,22),FALSE)/4,IF(F11=50,VLOOKUP($E11,'Master Data'!$B:$W,IF(G11="Wholesale",21,22),FALSE)/6,IF(F11=25,VLOOKUP($E11,'Master Data'!$B:$W,IF(G11="Wholesale",21,22),FALSE)/8,VLOOKUP($E11,'Master Data'!$B:$W,IF(G11="Wholesale",21,22),FALSE)/8))))))</f>
        <v>0</v>
      </c>
      <c r="V11" s="117">
        <f>+VLOOKUP($I11,'Master Data'!$B:$V,IF(G11="Wholesale",20,21),FALSE)</f>
        <v>40</v>
      </c>
      <c r="W11" s="144">
        <f>IF(F11=1000,'Master Data'!$AB$32,IF(F11=500,'Master Data'!$AB$33,IF(F11=250,'Master Data'!$AB$34,IF(F11=100,'Master Data'!$AB$35,IF(F11=50,'Master Data'!$AB$36,IF(F11=25,'Master Data'!$AB$37,'Master Data'!$AB$38))))))</f>
        <v>56.550000000000004</v>
      </c>
      <c r="X11" s="115">
        <f t="shared" si="3"/>
        <v>179.64338461538466</v>
      </c>
      <c r="Y11" s="127">
        <f t="shared" si="4"/>
        <v>1117.8603076923077</v>
      </c>
      <c r="Z11" s="128">
        <f t="shared" si="1"/>
        <v>1117.8603076923077</v>
      </c>
      <c r="AA11" s="127">
        <f t="shared" si="5"/>
        <v>1145.5269743589745</v>
      </c>
      <c r="AB11" s="286">
        <f t="shared" si="6"/>
        <v>181.86671794871799</v>
      </c>
      <c r="AC11" s="127">
        <f t="shared" si="7"/>
        <v>1091.2003076923079</v>
      </c>
      <c r="AD11" s="287">
        <f t="shared" si="8"/>
        <v>1636.8004615384618</v>
      </c>
    </row>
    <row r="12" spans="1:30" ht="35" customHeight="1">
      <c r="A12" s="125">
        <f t="shared" si="9"/>
        <v>10</v>
      </c>
      <c r="B12" s="119" t="s">
        <v>2</v>
      </c>
      <c r="C12" s="121" t="s">
        <v>166</v>
      </c>
      <c r="D12" s="126" t="str">
        <f>+VLOOKUP($B12,'Master Data'!$B$20:$W$197,2,FALSE)</f>
        <v>Chandan Enterprise</v>
      </c>
      <c r="E12" s="116" t="s">
        <v>295</v>
      </c>
      <c r="F12" s="126">
        <v>1000</v>
      </c>
      <c r="G12" s="126" t="s">
        <v>312</v>
      </c>
      <c r="H12" s="126" t="s">
        <v>320</v>
      </c>
      <c r="I12" s="125" t="s">
        <v>371</v>
      </c>
      <c r="J12" s="116">
        <v>20</v>
      </c>
      <c r="K12" s="117">
        <f>IF(D12="In House Production",INDEX('Master Data'!$H$552:$J$580,MATCH('Production Cost'!B12,'Master Data'!$H$552:$H$580,0),3),VLOOKUP($B12,'Master Data'!$B:$W,IF(G12="Wholesale",21,22),FALSE))</f>
        <v>0.192</v>
      </c>
      <c r="L12" s="115">
        <v>1</v>
      </c>
      <c r="M12" s="115">
        <f>INDEX('Master Data'!$B$323:$K$376,MATCH('Production Cost'!$B12,'Master Data'!$B$323:$B$376,0),MATCH('Production Cost'!F$3,'Master Data'!$B$323:$K$323,0))</f>
        <v>2</v>
      </c>
      <c r="N12" s="116" t="str">
        <f>IF(H12="Maruthi Plastics",INDEX('Master Data'!$B$202:$L$255,MATCH('Production Cost'!B12,'Master Data'!$B$202:$B$255,0),MATCH('Production Cost'!F12,'Master Data'!$B$202:$L$202,0)),INDEX('Master Data'!$B$261:$L$314,MATCH('Production Cost'!B12,'Master Data'!$B$261:$B$314,0),MATCH('Production Cost'!F12,'Master Data'!$B$261:$L$261,0)))</f>
        <v>One side Transparent Flat Bottom with Zipper (1000Gm)</v>
      </c>
      <c r="O12" s="115">
        <f t="shared" si="0"/>
        <v>1000</v>
      </c>
      <c r="P12" s="117">
        <f>+VLOOKUP($N12,'Master Data'!$B:$W,IF(G12="Wholesale",21,22),FALSE)</f>
        <v>11.94</v>
      </c>
      <c r="Q12" s="164">
        <f t="shared" si="2"/>
        <v>23.88</v>
      </c>
      <c r="R12" s="115">
        <f>IF(G12="Wholesale",'Master Data'!$V$127*$M12,'Master Data'!$W$127*$M12)</f>
        <v>4.4000000000000004</v>
      </c>
      <c r="S12" s="115">
        <f>IF(G12="Wholesale",'Master Data'!$V$111*$M12,'Master Data'!$W$111*$M12)</f>
        <v>6.1538461538461542</v>
      </c>
      <c r="T12" s="115">
        <f>IF(F12=1000,'Master Data'!$AF$40,IF(F12=500,'Master Data'!$AF$39,IF(F12=250,'Master Data'!$AF$39,'Master Data'!$AF$38)))</f>
        <v>11.116666666666667</v>
      </c>
      <c r="U12" s="117">
        <f>IF(F12=1000,VLOOKUP($E12,'Master Data'!$B:$W,IF(G12="Wholesale",21,22),FALSE),IF(F12=500,VLOOKUP($E12,'Master Data'!$B:$W,IF(G12="Wholesale",21,22),FALSE)/2,IF(F12=250,VLOOKUP($E12,'Master Data'!$B:$W,IF(G12="Wholesale",21,22),FALSE)/3,IF(F12=100,VLOOKUP($E12,'Master Data'!$B:$W,IF(G12="Wholesale",21,22),FALSE)/4,IF(F12=50,VLOOKUP($E12,'Master Data'!$B:$W,IF(G12="Wholesale",21,22),FALSE)/6,IF(F12=25,VLOOKUP($E12,'Master Data'!$B:$W,IF(G12="Wholesale",21,22),FALSE)/8,VLOOKUP($E12,'Master Data'!$B:$W,IF(G12="Wholesale",21,22),FALSE)/8))))))</f>
        <v>0</v>
      </c>
      <c r="V12" s="117">
        <f>+VLOOKUP($I12,'Master Data'!$B:$V,IF(G12="Wholesale",20,21),FALSE)</f>
        <v>40</v>
      </c>
      <c r="W12" s="144">
        <f>IF(F12=1000,'Master Data'!$AB$32,IF(F12=500,'Master Data'!$AB$33,IF(F12=250,'Master Data'!$AB$34,IF(F12=100,'Master Data'!$AB$35,IF(F12=50,'Master Data'!$AB$36,IF(F12=25,'Master Data'!$AB$37,'Master Data'!$AB$38))))))</f>
        <v>56.550000000000004</v>
      </c>
      <c r="X12" s="115">
        <f t="shared" si="3"/>
        <v>45.286769230769238</v>
      </c>
      <c r="Y12" s="127">
        <f t="shared" si="4"/>
        <v>311.72061538461537</v>
      </c>
      <c r="Z12" s="128">
        <f t="shared" si="1"/>
        <v>311.72061538461537</v>
      </c>
      <c r="AA12" s="127">
        <f t="shared" si="5"/>
        <v>339.38728205128211</v>
      </c>
      <c r="AB12" s="286">
        <f t="shared" si="6"/>
        <v>47.510102564102567</v>
      </c>
      <c r="AC12" s="127">
        <f t="shared" si="7"/>
        <v>285.0606153846154</v>
      </c>
      <c r="AD12" s="287">
        <f t="shared" si="8"/>
        <v>427.5909230769231</v>
      </c>
    </row>
    <row r="13" spans="1:30" ht="30">
      <c r="A13" s="125">
        <f t="shared" si="9"/>
        <v>11</v>
      </c>
      <c r="B13" s="119" t="s">
        <v>3</v>
      </c>
      <c r="C13" s="121" t="s">
        <v>167</v>
      </c>
      <c r="D13" s="126" t="str">
        <f>+VLOOKUP($B13,'Master Data'!$B$20:$W$197,2,FALSE)</f>
        <v>Chandan Enterprise</v>
      </c>
      <c r="E13" s="116" t="s">
        <v>295</v>
      </c>
      <c r="F13" s="126">
        <v>1000</v>
      </c>
      <c r="G13" s="126" t="s">
        <v>312</v>
      </c>
      <c r="H13" s="126" t="s">
        <v>320</v>
      </c>
      <c r="I13" s="125" t="s">
        <v>371</v>
      </c>
      <c r="J13" s="116">
        <v>20</v>
      </c>
      <c r="K13" s="117">
        <f>IF(D13="In House Production",INDEX('Master Data'!$H$552:$J$580,MATCH('Production Cost'!B13,'Master Data'!$H$552:$H$580,0),3),VLOOKUP($B13,'Master Data'!$B:$W,IF(G13="Wholesale",21,22),FALSE))</f>
        <v>0.30399999999999999</v>
      </c>
      <c r="L13" s="115">
        <v>1</v>
      </c>
      <c r="M13" s="115">
        <f>INDEX('Master Data'!$B$323:$K$376,MATCH('Production Cost'!$B13,'Master Data'!$B$323:$B$376,0),MATCH('Production Cost'!F$3,'Master Data'!$B$323:$K$323,0))</f>
        <v>1</v>
      </c>
      <c r="N13" s="116" t="str">
        <f>IF(H13="Maruthi Plastics",INDEX('Master Data'!$B$202:$L$255,MATCH('Production Cost'!B13,'Master Data'!$B$202:$B$255,0),MATCH('Production Cost'!F13,'Master Data'!$B$202:$L$202,0)),INDEX('Master Data'!$B$261:$L$314,MATCH('Production Cost'!B13,'Master Data'!$B$261:$B$314,0),MATCH('Production Cost'!F13,'Master Data'!$B$261:$L$261,0)))</f>
        <v>One side Transparent Flat Bottom with Zipper (1000Gm)</v>
      </c>
      <c r="O13" s="115">
        <f t="shared" si="0"/>
        <v>1000</v>
      </c>
      <c r="P13" s="117">
        <f>+VLOOKUP($N13,'Master Data'!$B:$W,IF(G13="Wholesale",21,22),FALSE)</f>
        <v>11.94</v>
      </c>
      <c r="Q13" s="164">
        <f t="shared" si="2"/>
        <v>11.94</v>
      </c>
      <c r="R13" s="115">
        <f>IF(G13="Wholesale",'Master Data'!$V$127*$M13,'Master Data'!$W$127*$M13)</f>
        <v>2.2000000000000002</v>
      </c>
      <c r="S13" s="115">
        <f>IF(G13="Wholesale",'Master Data'!$V$111*$M13,'Master Data'!$W$111*$M13)</f>
        <v>3.0769230769230771</v>
      </c>
      <c r="T13" s="115">
        <f>IF(F13=1000,'Master Data'!$AF$40,IF(F13=500,'Master Data'!$AF$39,IF(F13=250,'Master Data'!$AF$39,'Master Data'!$AF$38)))</f>
        <v>11.116666666666667</v>
      </c>
      <c r="U13" s="117">
        <f>IF(F13=1000,VLOOKUP($E13,'Master Data'!$B:$W,IF(G13="Wholesale",21,22),FALSE),IF(F13=500,VLOOKUP($E13,'Master Data'!$B:$W,IF(G13="Wholesale",21,22),FALSE)/2,IF(F13=250,VLOOKUP($E13,'Master Data'!$B:$W,IF(G13="Wholesale",21,22),FALSE)/3,IF(F13=100,VLOOKUP($E13,'Master Data'!$B:$W,IF(G13="Wholesale",21,22),FALSE)/4,IF(F13=50,VLOOKUP($E13,'Master Data'!$B:$W,IF(G13="Wholesale",21,22),FALSE)/6,IF(F13=25,VLOOKUP($E13,'Master Data'!$B:$W,IF(G13="Wholesale",21,22),FALSE)/8,VLOOKUP($E13,'Master Data'!$B:$W,IF(G13="Wholesale",21,22),FALSE)/8))))))</f>
        <v>0</v>
      </c>
      <c r="V13" s="117">
        <f>+VLOOKUP($I13,'Master Data'!$B:$V,IF(G13="Wholesale",20,21),FALSE)</f>
        <v>40</v>
      </c>
      <c r="W13" s="144">
        <f>IF(F13=1000,'Master Data'!$AB$32,IF(F13=500,'Master Data'!$AB$33,IF(F13=250,'Master Data'!$AB$34,IF(F13=100,'Master Data'!$AB$35,IF(F13=50,'Master Data'!$AB$36,IF(F13=25,'Master Data'!$AB$37,'Master Data'!$AB$38))))))</f>
        <v>56.550000000000004</v>
      </c>
      <c r="X13" s="115">
        <f t="shared" si="3"/>
        <v>64.243384615384613</v>
      </c>
      <c r="Y13" s="127">
        <f t="shared" si="4"/>
        <v>425.46030769230771</v>
      </c>
      <c r="Z13" s="128">
        <f t="shared" si="1"/>
        <v>425.46030769230771</v>
      </c>
      <c r="AA13" s="127">
        <f t="shared" si="5"/>
        <v>453.12697435897439</v>
      </c>
      <c r="AB13" s="286">
        <f t="shared" si="6"/>
        <v>66.466717948717957</v>
      </c>
      <c r="AC13" s="127">
        <f t="shared" si="7"/>
        <v>398.80030769230768</v>
      </c>
      <c r="AD13" s="287">
        <f t="shared" si="8"/>
        <v>598.20046153846147</v>
      </c>
    </row>
    <row r="14" spans="1:30" ht="30">
      <c r="A14" s="125">
        <f t="shared" si="9"/>
        <v>12</v>
      </c>
      <c r="B14" s="119" t="s">
        <v>41</v>
      </c>
      <c r="C14" s="121" t="s">
        <v>168</v>
      </c>
      <c r="D14" s="126" t="str">
        <f>+VLOOKUP($B14,'Master Data'!$B$20:$W$197,2,FALSE)</f>
        <v>Chandan Enterprise</v>
      </c>
      <c r="E14" s="116" t="s">
        <v>295</v>
      </c>
      <c r="F14" s="126">
        <v>1000</v>
      </c>
      <c r="G14" s="126" t="s">
        <v>312</v>
      </c>
      <c r="H14" s="126" t="s">
        <v>320</v>
      </c>
      <c r="I14" s="125" t="s">
        <v>371</v>
      </c>
      <c r="J14" s="116">
        <v>20</v>
      </c>
      <c r="K14" s="117">
        <f>IF(D14="In House Production",INDEX('Master Data'!$H$552:$J$580,MATCH('Production Cost'!B14,'Master Data'!$H$552:$H$580,0),3),VLOOKUP($B14,'Master Data'!$B:$W,IF(G14="Wholesale",21,22),FALSE))</f>
        <v>0.13200000000000001</v>
      </c>
      <c r="L14" s="115">
        <v>1</v>
      </c>
      <c r="M14" s="115">
        <f>INDEX('Master Data'!$B$323:$K$376,MATCH('Production Cost'!$B14,'Master Data'!$B$323:$B$376,0),MATCH('Production Cost'!F$3,'Master Data'!$B$323:$K$323,0))</f>
        <v>1</v>
      </c>
      <c r="N14" s="116" t="str">
        <f>IF(H14="Maruthi Plastics",INDEX('Master Data'!$B$202:$L$255,MATCH('Production Cost'!B14,'Master Data'!$B$202:$B$255,0),MATCH('Production Cost'!F14,'Master Data'!$B$202:$L$202,0)),INDEX('Master Data'!$B$261:$L$314,MATCH('Production Cost'!B14,'Master Data'!$B$261:$B$314,0),MATCH('Production Cost'!F14,'Master Data'!$B$261:$L$261,0)))</f>
        <v>One side Transparent Flat Bottom with Zipper (1000Gm)</v>
      </c>
      <c r="O14" s="115">
        <f t="shared" si="0"/>
        <v>1000</v>
      </c>
      <c r="P14" s="117">
        <f>+VLOOKUP($N14,'Master Data'!$B:$W,IF(G14="Wholesale",21,22),FALSE)</f>
        <v>11.94</v>
      </c>
      <c r="Q14" s="164">
        <f t="shared" si="2"/>
        <v>11.94</v>
      </c>
      <c r="R14" s="115">
        <f>IF(G14="Wholesale",'Master Data'!$V$127*$M14,'Master Data'!$W$127*$M14)</f>
        <v>2.2000000000000002</v>
      </c>
      <c r="S14" s="115">
        <f>IF(G14="Wholesale",'Master Data'!$V$111*$M14,'Master Data'!$W$111*$M14)</f>
        <v>3.0769230769230771</v>
      </c>
      <c r="T14" s="115">
        <f>IF(F14=1000,'Master Data'!$AF$40,IF(F14=500,'Master Data'!$AF$39,IF(F14=250,'Master Data'!$AF$39,'Master Data'!$AF$38)))</f>
        <v>11.116666666666667</v>
      </c>
      <c r="U14" s="117">
        <f>IF(F14=1000,VLOOKUP($E14,'Master Data'!$B:$W,IF(G14="Wholesale",21,22),FALSE),IF(F14=500,VLOOKUP($E14,'Master Data'!$B:$W,IF(G14="Wholesale",21,22),FALSE)/2,IF(F14=250,VLOOKUP($E14,'Master Data'!$B:$W,IF(G14="Wholesale",21,22),FALSE)/3,IF(F14=100,VLOOKUP($E14,'Master Data'!$B:$W,IF(G14="Wholesale",21,22),FALSE)/4,IF(F14=50,VLOOKUP($E14,'Master Data'!$B:$W,IF(G14="Wholesale",21,22),FALSE)/6,IF(F14=25,VLOOKUP($E14,'Master Data'!$B:$W,IF(G14="Wholesale",21,22),FALSE)/8,VLOOKUP($E14,'Master Data'!$B:$W,IF(G14="Wholesale",21,22),FALSE)/8))))))</f>
        <v>0</v>
      </c>
      <c r="V14" s="117">
        <f>+VLOOKUP($I14,'Master Data'!$B:$V,IF(G14="Wholesale",20,21),FALSE)</f>
        <v>40</v>
      </c>
      <c r="W14" s="144">
        <f>IF(F14=1000,'Master Data'!$AB$32,IF(F14=500,'Master Data'!$AB$33,IF(F14=250,'Master Data'!$AB$34,IF(F14=100,'Master Data'!$AB$35,IF(F14=50,'Master Data'!$AB$36,IF(F14=25,'Master Data'!$AB$37,'Master Data'!$AB$38))))))</f>
        <v>56.550000000000004</v>
      </c>
      <c r="X14" s="115">
        <f t="shared" si="3"/>
        <v>29.843384615384611</v>
      </c>
      <c r="Y14" s="127">
        <f t="shared" si="4"/>
        <v>219.06030769230767</v>
      </c>
      <c r="Z14" s="128">
        <f t="shared" si="1"/>
        <v>219.06030769230767</v>
      </c>
      <c r="AA14" s="127">
        <f t="shared" si="5"/>
        <v>246.72697435897436</v>
      </c>
      <c r="AB14" s="286">
        <f t="shared" si="6"/>
        <v>32.066717948717944</v>
      </c>
      <c r="AC14" s="127">
        <f t="shared" si="7"/>
        <v>192.40030769230768</v>
      </c>
      <c r="AD14" s="287">
        <f t="shared" si="8"/>
        <v>288.6004615384615</v>
      </c>
    </row>
    <row r="15" spans="1:30" ht="30">
      <c r="A15" s="125">
        <f t="shared" si="9"/>
        <v>13</v>
      </c>
      <c r="B15" s="121" t="s">
        <v>16</v>
      </c>
      <c r="C15" s="121" t="s">
        <v>169</v>
      </c>
      <c r="D15" s="126" t="s">
        <v>83</v>
      </c>
      <c r="E15" s="116" t="s">
        <v>295</v>
      </c>
      <c r="F15" s="126">
        <v>1000</v>
      </c>
      <c r="G15" s="126" t="s">
        <v>312</v>
      </c>
      <c r="H15" s="126" t="s">
        <v>320</v>
      </c>
      <c r="I15" s="125" t="s">
        <v>371</v>
      </c>
      <c r="J15" s="116">
        <v>20</v>
      </c>
      <c r="K15" s="117">
        <f>IF(D15="In House Production",INDEX('Master Data'!$H$552:$J$580,MATCH('Production Cost'!B15,'Master Data'!$H$552:$H$580,0),3),VLOOKUP($B15,'Master Data'!$B:$W,IF(G15="Wholesale",21,22),FALSE))</f>
        <v>2.7410000000000001</v>
      </c>
      <c r="L15" s="115">
        <v>1</v>
      </c>
      <c r="M15" s="115">
        <f>INDEX('Master Data'!$B$323:$K$376,MATCH('Production Cost'!$B15,'Master Data'!$B$323:$B$376,0),MATCH('Production Cost'!F$3,'Master Data'!$B$323:$K$323,0))</f>
        <v>4</v>
      </c>
      <c r="N15" s="116" t="str">
        <f>IF(H15="Maruthi Plastics",INDEX('Master Data'!$B$202:$L$255,MATCH('Production Cost'!B15,'Master Data'!$B$202:$B$255,0),MATCH('Production Cost'!F15,'Master Data'!$B$202:$L$202,0)),INDEX('Master Data'!$B$261:$L$314,MATCH('Production Cost'!B15,'Master Data'!$B$261:$B$314,0),MATCH('Production Cost'!F15,'Master Data'!$B$261:$L$261,0)))</f>
        <v>One side Transparent Flat Bottom with Zipper (1000Gm)</v>
      </c>
      <c r="O15" s="115">
        <f t="shared" si="0"/>
        <v>1000</v>
      </c>
      <c r="P15" s="117">
        <f>+VLOOKUP($N15,'Master Data'!$B:$W,IF(G15="Wholesale",21,22),FALSE)</f>
        <v>11.94</v>
      </c>
      <c r="Q15" s="164">
        <f t="shared" si="2"/>
        <v>47.76</v>
      </c>
      <c r="R15" s="115">
        <f>IF(G15="Wholesale",'Master Data'!$V$127*$M15,'Master Data'!$W$127*$M15)</f>
        <v>8.8000000000000007</v>
      </c>
      <c r="S15" s="115">
        <f>IF(G15="Wholesale",'Master Data'!$V$111*$M15,'Master Data'!$W$111*$M15)</f>
        <v>12.307692307692308</v>
      </c>
      <c r="T15" s="115">
        <f>IF(F15=1000,'Master Data'!$AF$40,IF(F15=500,'Master Data'!$AF$39,IF(F15=250,'Master Data'!$AF$39,'Master Data'!$AF$38)))</f>
        <v>11.116666666666667</v>
      </c>
      <c r="U15" s="117">
        <f>IF(F15=1000,VLOOKUP($E15,'Master Data'!$B:$W,IF(G15="Wholesale",21,22),FALSE),IF(F15=500,VLOOKUP($E15,'Master Data'!$B:$W,IF(G15="Wholesale",21,22),FALSE)/2,IF(F15=250,VLOOKUP($E15,'Master Data'!$B:$W,IF(G15="Wholesale",21,22),FALSE)/3,IF(F15=100,VLOOKUP($E15,'Master Data'!$B:$W,IF(G15="Wholesale",21,22),FALSE)/4,IF(F15=50,VLOOKUP($E15,'Master Data'!$B:$W,IF(G15="Wholesale",21,22),FALSE)/6,IF(F15=25,VLOOKUP($E15,'Master Data'!$B:$W,IF(G15="Wholesale",21,22),FALSE)/8,VLOOKUP($E15,'Master Data'!$B:$W,IF(G15="Wholesale",21,22),FALSE)/8))))))</f>
        <v>0</v>
      </c>
      <c r="V15" s="117">
        <f>+VLOOKUP($I15,'Master Data'!$B:$V,IF(G15="Wholesale",20,21),FALSE)</f>
        <v>40</v>
      </c>
      <c r="W15" s="144">
        <f>IF(F15=1000,'Master Data'!$AB$32,IF(F15=500,'Master Data'!$AB$33,IF(F15=250,'Master Data'!$AB$34,IF(F15=100,'Master Data'!$AB$35,IF(F15=50,'Master Data'!$AB$36,IF(F15=25,'Master Data'!$AB$37,'Master Data'!$AB$38))))))</f>
        <v>56.550000000000004</v>
      </c>
      <c r="X15" s="115">
        <f t="shared" si="3"/>
        <v>561.97353846153862</v>
      </c>
      <c r="Y15" s="127">
        <f t="shared" si="4"/>
        <v>3411.8412307692315</v>
      </c>
      <c r="Z15" s="128">
        <f t="shared" si="1"/>
        <v>3411.8412307692315</v>
      </c>
      <c r="AA15" s="127">
        <f t="shared" si="5"/>
        <v>3439.5078974358985</v>
      </c>
      <c r="AB15" s="286">
        <f t="shared" si="6"/>
        <v>564.19687179487198</v>
      </c>
      <c r="AC15" s="127">
        <f t="shared" si="7"/>
        <v>3385.1812307692317</v>
      </c>
      <c r="AD15" s="287">
        <f t="shared" si="8"/>
        <v>5077.7718461538479</v>
      </c>
    </row>
    <row r="16" spans="1:30" ht="30">
      <c r="A16" s="125">
        <f t="shared" si="9"/>
        <v>14</v>
      </c>
      <c r="B16" s="121" t="s">
        <v>12</v>
      </c>
      <c r="C16" s="121" t="s">
        <v>170</v>
      </c>
      <c r="D16" s="126" t="str">
        <f>+VLOOKUP($B16,'Master Data'!$B$20:$W$197,2,FALSE)</f>
        <v>Nadha Spices</v>
      </c>
      <c r="E16" s="116" t="s">
        <v>295</v>
      </c>
      <c r="F16" s="126">
        <v>1000</v>
      </c>
      <c r="G16" s="126" t="s">
        <v>312</v>
      </c>
      <c r="H16" s="126" t="s">
        <v>320</v>
      </c>
      <c r="I16" s="125" t="s">
        <v>371</v>
      </c>
      <c r="J16" s="116">
        <v>20</v>
      </c>
      <c r="K16" s="117">
        <f>IF(D16="In House Production",INDEX('Master Data'!$H$552:$J$580,MATCH('Production Cost'!B16,'Master Data'!$H$552:$H$580,0),3),VLOOKUP($B16,'Master Data'!$B:$W,IF(G16="Wholesale",21,22),FALSE))</f>
        <v>0.94099999999999995</v>
      </c>
      <c r="L16" s="115">
        <v>1</v>
      </c>
      <c r="M16" s="115">
        <f>INDEX('Master Data'!$B$323:$K$376,MATCH('Production Cost'!$B16,'Master Data'!$B$323:$B$376,0),MATCH('Production Cost'!F$3,'Master Data'!$B$323:$K$323,0))</f>
        <v>1</v>
      </c>
      <c r="N16" s="116" t="str">
        <f>IF(H16="Maruthi Plastics",INDEX('Master Data'!$B$202:$L$255,MATCH('Production Cost'!B16,'Master Data'!$B$202:$B$255,0),MATCH('Production Cost'!F16,'Master Data'!$B$202:$L$202,0)),INDEX('Master Data'!$B$261:$L$314,MATCH('Production Cost'!B16,'Master Data'!$B$261:$B$314,0),MATCH('Production Cost'!F16,'Master Data'!$B$261:$L$261,0)))</f>
        <v>One side Transparent Flat Bottom with Zipper (1000Gm)</v>
      </c>
      <c r="O16" s="115">
        <f t="shared" si="0"/>
        <v>1000</v>
      </c>
      <c r="P16" s="117">
        <f>+VLOOKUP($N16,'Master Data'!$B:$W,IF(G16="Wholesale",21,22),FALSE)</f>
        <v>11.94</v>
      </c>
      <c r="Q16" s="164">
        <f t="shared" si="2"/>
        <v>11.94</v>
      </c>
      <c r="R16" s="115">
        <f>IF(G16="Wholesale",'Master Data'!$V$127*$M16,'Master Data'!$W$127*$M16)</f>
        <v>2.2000000000000002</v>
      </c>
      <c r="S16" s="115">
        <f>IF(G16="Wholesale",'Master Data'!$V$111*$M16,'Master Data'!$W$111*$M16)</f>
        <v>3.0769230769230771</v>
      </c>
      <c r="T16" s="115">
        <f>IF(F16=1000,'Master Data'!$AF$40,IF(F16=500,'Master Data'!$AF$39,IF(F16=250,'Master Data'!$AF$39,'Master Data'!$AF$38)))</f>
        <v>11.116666666666667</v>
      </c>
      <c r="U16" s="117">
        <f>IF(F16=1000,VLOOKUP($E16,'Master Data'!$B:$W,IF(G16="Wholesale",21,22),FALSE),IF(F16=500,VLOOKUP($E16,'Master Data'!$B:$W,IF(G16="Wholesale",21,22),FALSE)/2,IF(F16=250,VLOOKUP($E16,'Master Data'!$B:$W,IF(G16="Wholesale",21,22),FALSE)/3,IF(F16=100,VLOOKUP($E16,'Master Data'!$B:$W,IF(G16="Wholesale",21,22),FALSE)/4,IF(F16=50,VLOOKUP($E16,'Master Data'!$B:$W,IF(G16="Wholesale",21,22),FALSE)/6,IF(F16=25,VLOOKUP($E16,'Master Data'!$B:$W,IF(G16="Wholesale",21,22),FALSE)/8,VLOOKUP($E16,'Master Data'!$B:$W,IF(G16="Wholesale",21,22),FALSE)/8))))))</f>
        <v>0</v>
      </c>
      <c r="V16" s="117">
        <f>+VLOOKUP($I16,'Master Data'!$B:$V,IF(G16="Wholesale",20,21),FALSE)</f>
        <v>40</v>
      </c>
      <c r="W16" s="144">
        <f>IF(F16=1000,'Master Data'!$AB$32,IF(F16=500,'Master Data'!$AB$33,IF(F16=250,'Master Data'!$AB$34,IF(F16=100,'Master Data'!$AB$35,IF(F16=50,'Master Data'!$AB$36,IF(F16=25,'Master Data'!$AB$37,'Master Data'!$AB$38))))))</f>
        <v>56.550000000000004</v>
      </c>
      <c r="X16" s="115">
        <f t="shared" si="3"/>
        <v>191.64338461538466</v>
      </c>
      <c r="Y16" s="127">
        <f t="shared" si="4"/>
        <v>1189.8603076923077</v>
      </c>
      <c r="Z16" s="128">
        <f t="shared" si="1"/>
        <v>1189.8603076923077</v>
      </c>
      <c r="AA16" s="127">
        <f t="shared" si="5"/>
        <v>1217.5269743589747</v>
      </c>
      <c r="AB16" s="286">
        <f t="shared" si="6"/>
        <v>193.86671794871799</v>
      </c>
      <c r="AC16" s="127">
        <f t="shared" si="7"/>
        <v>1163.2003076923079</v>
      </c>
      <c r="AD16" s="287">
        <f t="shared" si="8"/>
        <v>1744.8004615384618</v>
      </c>
    </row>
    <row r="17" spans="1:30" ht="30">
      <c r="A17" s="125">
        <f t="shared" si="9"/>
        <v>15</v>
      </c>
      <c r="B17" s="121" t="s">
        <v>13</v>
      </c>
      <c r="C17" s="121" t="s">
        <v>171</v>
      </c>
      <c r="D17" s="126" t="str">
        <f>+VLOOKUP($B17,'Master Data'!$B$20:$W$197,2,FALSE)</f>
        <v>Ali Kikabai</v>
      </c>
      <c r="E17" s="116" t="s">
        <v>295</v>
      </c>
      <c r="F17" s="126">
        <v>1000</v>
      </c>
      <c r="G17" s="126" t="s">
        <v>312</v>
      </c>
      <c r="H17" s="126" t="s">
        <v>320</v>
      </c>
      <c r="I17" s="125" t="s">
        <v>371</v>
      </c>
      <c r="J17" s="116">
        <v>20</v>
      </c>
      <c r="K17" s="117">
        <f>IF(D17="In House Production",INDEX('Master Data'!$H$552:$J$580,MATCH('Production Cost'!B17,'Master Data'!$H$552:$H$580,0),3),VLOOKUP($B17,'Master Data'!$B:$W,IF(G17="Wholesale",21,22),FALSE))</f>
        <v>0.51960000000000006</v>
      </c>
      <c r="L17" s="115">
        <v>1</v>
      </c>
      <c r="M17" s="115">
        <f>INDEX('Master Data'!$B$323:$K$376,MATCH('Production Cost'!$B17,'Master Data'!$B$323:$B$376,0),MATCH('Production Cost'!F$3,'Master Data'!$B$323:$K$323,0))</f>
        <v>4</v>
      </c>
      <c r="N17" s="116" t="str">
        <f>IF(H17="Maruthi Plastics",INDEX('Master Data'!$B$202:$L$255,MATCH('Production Cost'!B17,'Master Data'!$B$202:$B$255,0),MATCH('Production Cost'!F17,'Master Data'!$B$202:$L$202,0)),INDEX('Master Data'!$B$261:$L$314,MATCH('Production Cost'!B17,'Master Data'!$B$261:$B$314,0),MATCH('Production Cost'!F17,'Master Data'!$B$261:$L$261,0)))</f>
        <v>One side Transparent Flat Bottom with Zipper (1000Gm)</v>
      </c>
      <c r="O17" s="115">
        <f t="shared" si="0"/>
        <v>1000</v>
      </c>
      <c r="P17" s="117">
        <f>+VLOOKUP($N17,'Master Data'!$B:$W,IF(G17="Wholesale",21,22),FALSE)</f>
        <v>11.94</v>
      </c>
      <c r="Q17" s="164">
        <f t="shared" si="2"/>
        <v>47.76</v>
      </c>
      <c r="R17" s="115">
        <f>IF(G17="Wholesale",'Master Data'!$V$127*$M17,'Master Data'!$W$127*$M17)</f>
        <v>8.8000000000000007</v>
      </c>
      <c r="S17" s="115">
        <f>IF(G17="Wholesale",'Master Data'!$V$111*$M17,'Master Data'!$W$111*$M17)</f>
        <v>12.307692307692308</v>
      </c>
      <c r="T17" s="115">
        <f>IF(F17=1000,'Master Data'!$AF$40,IF(F17=500,'Master Data'!$AF$39,IF(F17=250,'Master Data'!$AF$39,'Master Data'!$AF$38)))</f>
        <v>11.116666666666667</v>
      </c>
      <c r="U17" s="117">
        <f>IF(F17=1000,VLOOKUP($E17,'Master Data'!$B:$W,IF(G17="Wholesale",21,22),FALSE),IF(F17=500,VLOOKUP($E17,'Master Data'!$B:$W,IF(G17="Wholesale",21,22),FALSE)/2,IF(F17=250,VLOOKUP($E17,'Master Data'!$B:$W,IF(G17="Wholesale",21,22),FALSE)/3,IF(F17=100,VLOOKUP($E17,'Master Data'!$B:$W,IF(G17="Wholesale",21,22),FALSE)/4,IF(F17=50,VLOOKUP($E17,'Master Data'!$B:$W,IF(G17="Wholesale",21,22),FALSE)/6,IF(F17=25,VLOOKUP($E17,'Master Data'!$B:$W,IF(G17="Wholesale",21,22),FALSE)/8,VLOOKUP($E17,'Master Data'!$B:$W,IF(G17="Wholesale",21,22),FALSE)/8))))))</f>
        <v>0</v>
      </c>
      <c r="V17" s="117">
        <f>+VLOOKUP($I17,'Master Data'!$B:$V,IF(G17="Wholesale",20,21),FALSE)</f>
        <v>40</v>
      </c>
      <c r="W17" s="144">
        <f>IF(F17=1000,'Master Data'!$AB$32,IF(F17=500,'Master Data'!$AB$33,IF(F17=250,'Master Data'!$AB$34,IF(F17=100,'Master Data'!$AB$35,IF(F17=50,'Master Data'!$AB$36,IF(F17=25,'Master Data'!$AB$37,'Master Data'!$AB$38))))))</f>
        <v>56.550000000000004</v>
      </c>
      <c r="X17" s="115">
        <f t="shared" si="3"/>
        <v>117.69353846153845</v>
      </c>
      <c r="Y17" s="127">
        <f t="shared" si="4"/>
        <v>746.16123076923066</v>
      </c>
      <c r="Z17" s="128">
        <f t="shared" si="1"/>
        <v>746.16123076923066</v>
      </c>
      <c r="AA17" s="127">
        <f t="shared" si="5"/>
        <v>773.82789743589728</v>
      </c>
      <c r="AB17" s="286">
        <f t="shared" si="6"/>
        <v>119.91687179487178</v>
      </c>
      <c r="AC17" s="127">
        <f t="shared" si="7"/>
        <v>719.50123076923069</v>
      </c>
      <c r="AD17" s="287">
        <f t="shared" si="8"/>
        <v>1079.2518461538461</v>
      </c>
    </row>
    <row r="18" spans="1:30" ht="30">
      <c r="A18" s="125">
        <f t="shared" si="9"/>
        <v>16</v>
      </c>
      <c r="B18" s="119" t="s">
        <v>172</v>
      </c>
      <c r="C18" s="120" t="s">
        <v>173</v>
      </c>
      <c r="D18" s="126" t="s">
        <v>292</v>
      </c>
      <c r="E18" s="116" t="s">
        <v>295</v>
      </c>
      <c r="F18" s="126">
        <v>1000</v>
      </c>
      <c r="G18" s="126" t="s">
        <v>312</v>
      </c>
      <c r="H18" s="126" t="s">
        <v>320</v>
      </c>
      <c r="I18" s="125" t="s">
        <v>371</v>
      </c>
      <c r="J18" s="116">
        <v>20</v>
      </c>
      <c r="K18" s="117">
        <f>IF(D18="In House Production",INDEX('Master Data'!$H$552:$J$580,MATCH('Production Cost'!B18,'Master Data'!$H$552:$H$580,0),3),VLOOKUP($B18,'Master Data'!$B:$W,IF(G18="Wholesale",21,22),FALSE))</f>
        <v>0.92504999999999993</v>
      </c>
      <c r="L18" s="115">
        <v>1</v>
      </c>
      <c r="M18" s="115">
        <f>INDEX('Master Data'!$B$323:$K$376,MATCH('Production Cost'!$B18,'Master Data'!$B$323:$B$376,0),MATCH('Production Cost'!F$3,'Master Data'!$B$323:$K$323,0))</f>
        <v>1</v>
      </c>
      <c r="N18" s="116" t="str">
        <f>IF(H18="Maruthi Plastics",INDEX('Master Data'!$B$202:$L$255,MATCH('Production Cost'!B18,'Master Data'!$B$202:$B$255,0),MATCH('Production Cost'!F18,'Master Data'!$B$202:$L$202,0)),INDEX('Master Data'!$B$261:$L$314,MATCH('Production Cost'!B18,'Master Data'!$B$261:$B$314,0),MATCH('Production Cost'!F18,'Master Data'!$B$261:$L$261,0)))</f>
        <v>Flat Bottom Pouches With Normal Zipper 1 kg</v>
      </c>
      <c r="O18" s="115">
        <f t="shared" si="0"/>
        <v>1000</v>
      </c>
      <c r="P18" s="117">
        <f>+VLOOKUP($N18,'Master Data'!$B:$W,IF(G18="Wholesale",21,22),FALSE)</f>
        <v>16.13</v>
      </c>
      <c r="Q18" s="164">
        <f t="shared" si="2"/>
        <v>16.13</v>
      </c>
      <c r="R18" s="115">
        <f>IF(G18="Wholesale",'Master Data'!$V$127*$M18,'Master Data'!$W$127*$M18)</f>
        <v>2.2000000000000002</v>
      </c>
      <c r="S18" s="115">
        <f>IF(G18="Wholesale",'Master Data'!$V$111*$M18,'Master Data'!$W$111*$M18)</f>
        <v>3.0769230769230771</v>
      </c>
      <c r="T18" s="115">
        <f>IF(F18=1000,'Master Data'!$AF$40,IF(F18=500,'Master Data'!$AF$39,IF(F18=250,'Master Data'!$AF$39,'Master Data'!$AF$38)))</f>
        <v>11.116666666666667</v>
      </c>
      <c r="U18" s="117">
        <f>IF(F18=1000,VLOOKUP($E18,'Master Data'!$B:$W,IF(G18="Wholesale",21,22),FALSE),IF(F18=500,VLOOKUP($E18,'Master Data'!$B:$W,IF(G18="Wholesale",21,22),FALSE)/2,IF(F18=250,VLOOKUP($E18,'Master Data'!$B:$W,IF(G18="Wholesale",21,22),FALSE)/3,IF(F18=100,VLOOKUP($E18,'Master Data'!$B:$W,IF(G18="Wholesale",21,22),FALSE)/4,IF(F18=50,VLOOKUP($E18,'Master Data'!$B:$W,IF(G18="Wholesale",21,22),FALSE)/6,IF(F18=25,VLOOKUP($E18,'Master Data'!$B:$W,IF(G18="Wholesale",21,22),FALSE)/8,VLOOKUP($E18,'Master Data'!$B:$W,IF(G18="Wholesale",21,22),FALSE)/8))))))</f>
        <v>0</v>
      </c>
      <c r="V18" s="117">
        <f>+VLOOKUP($I18,'Master Data'!$B:$V,IF(G18="Wholesale",20,21),FALSE)</f>
        <v>40</v>
      </c>
      <c r="W18" s="144">
        <f>IF(F18=1000,'Master Data'!$AB$32,IF(F18=500,'Master Data'!$AB$33,IF(F18=250,'Master Data'!$AB$34,IF(F18=100,'Master Data'!$AB$35,IF(F18=50,'Master Data'!$AB$36,IF(F18=25,'Master Data'!$AB$37,'Master Data'!$AB$38))))))</f>
        <v>56.550000000000004</v>
      </c>
      <c r="X18" s="115">
        <f t="shared" si="3"/>
        <v>189.29138461538463</v>
      </c>
      <c r="Y18" s="127">
        <f t="shared" si="4"/>
        <v>1175.7483076923077</v>
      </c>
      <c r="Z18" s="128">
        <f t="shared" si="1"/>
        <v>1175.7483076923077</v>
      </c>
      <c r="AA18" s="127">
        <f t="shared" si="5"/>
        <v>1203.4149743589744</v>
      </c>
      <c r="AB18" s="286">
        <f t="shared" si="6"/>
        <v>191.51471794871796</v>
      </c>
      <c r="AC18" s="127">
        <f t="shared" si="7"/>
        <v>1149.0883076923078</v>
      </c>
      <c r="AD18" s="287">
        <f t="shared" si="8"/>
        <v>1723.6324615384617</v>
      </c>
    </row>
    <row r="19" spans="1:30" ht="30">
      <c r="A19" s="125">
        <f t="shared" si="9"/>
        <v>17</v>
      </c>
      <c r="B19" s="119" t="s">
        <v>174</v>
      </c>
      <c r="C19" s="120" t="s">
        <v>175</v>
      </c>
      <c r="D19" s="126" t="s">
        <v>292</v>
      </c>
      <c r="E19" s="116" t="s">
        <v>295</v>
      </c>
      <c r="F19" s="126">
        <v>1000</v>
      </c>
      <c r="G19" s="126" t="s">
        <v>312</v>
      </c>
      <c r="H19" s="126" t="s">
        <v>320</v>
      </c>
      <c r="I19" s="125" t="s">
        <v>371</v>
      </c>
      <c r="J19" s="116">
        <v>20</v>
      </c>
      <c r="K19" s="117">
        <f>IF(D19="In House Production",INDEX('Master Data'!$H$552:$J$580,MATCH('Production Cost'!B19,'Master Data'!$H$552:$H$580,0),3),VLOOKUP($B19,'Master Data'!$B:$W,IF(G19="Wholesale",21,22),FALSE))</f>
        <v>0.2016</v>
      </c>
      <c r="L19" s="115">
        <v>1</v>
      </c>
      <c r="M19" s="115">
        <f>INDEX('Master Data'!$B$323:$K$376,MATCH('Production Cost'!$B19,'Master Data'!$B$323:$B$376,0),MATCH('Production Cost'!F$3,'Master Data'!$B$323:$K$323,0))</f>
        <v>1</v>
      </c>
      <c r="N19" s="116" t="str">
        <f>IF(H19="Maruthi Plastics",INDEX('Master Data'!$B$202:$L$255,MATCH('Production Cost'!B19,'Master Data'!$B$202:$B$255,0),MATCH('Production Cost'!F19,'Master Data'!$B$202:$L$202,0)),INDEX('Master Data'!$B$261:$L$314,MATCH('Production Cost'!B19,'Master Data'!$B$261:$B$314,0),MATCH('Production Cost'!F19,'Master Data'!$B$261:$L$261,0)))</f>
        <v>One side Transparent Flat Bottom with Zipper (1000Gm)</v>
      </c>
      <c r="O19" s="115">
        <f t="shared" si="0"/>
        <v>1000</v>
      </c>
      <c r="P19" s="117">
        <f>+VLOOKUP($N19,'Master Data'!$B:$W,IF(G19="Wholesale",21,22),FALSE)</f>
        <v>11.94</v>
      </c>
      <c r="Q19" s="164">
        <f t="shared" si="2"/>
        <v>11.94</v>
      </c>
      <c r="R19" s="115">
        <f>IF(G19="Wholesale",'Master Data'!$V$127*$M19,'Master Data'!$W$127*$M19)</f>
        <v>2.2000000000000002</v>
      </c>
      <c r="S19" s="115">
        <f>IF(G19="Wholesale",'Master Data'!$V$111*$M19,'Master Data'!$W$111*$M19)</f>
        <v>3.0769230769230771</v>
      </c>
      <c r="T19" s="115">
        <f>IF(F19=1000,'Master Data'!$AF$40,IF(F19=500,'Master Data'!$AF$39,IF(F19=250,'Master Data'!$AF$39,'Master Data'!$AF$38)))</f>
        <v>11.116666666666667</v>
      </c>
      <c r="U19" s="117">
        <f>IF(F19=1000,VLOOKUP($E19,'Master Data'!$B:$W,IF(G19="Wholesale",21,22),FALSE),IF(F19=500,VLOOKUP($E19,'Master Data'!$B:$W,IF(G19="Wholesale",21,22),FALSE)/2,IF(F19=250,VLOOKUP($E19,'Master Data'!$B:$W,IF(G19="Wholesale",21,22),FALSE)/3,IF(F19=100,VLOOKUP($E19,'Master Data'!$B:$W,IF(G19="Wholesale",21,22),FALSE)/4,IF(F19=50,VLOOKUP($E19,'Master Data'!$B:$W,IF(G19="Wholesale",21,22),FALSE)/6,IF(F19=25,VLOOKUP($E19,'Master Data'!$B:$W,IF(G19="Wholesale",21,22),FALSE)/8,VLOOKUP($E19,'Master Data'!$B:$W,IF(G19="Wholesale",21,22),FALSE)/8))))))</f>
        <v>0</v>
      </c>
      <c r="V19" s="117">
        <f>+VLOOKUP($I19,'Master Data'!$B:$V,IF(G19="Wholesale",20,21),FALSE)</f>
        <v>40</v>
      </c>
      <c r="W19" s="144">
        <f>IF(F19=1000,'Master Data'!$AB$32,IF(F19=500,'Master Data'!$AB$33,IF(F19=250,'Master Data'!$AB$34,IF(F19=100,'Master Data'!$AB$35,IF(F19=50,'Master Data'!$AB$36,IF(F19=25,'Master Data'!$AB$37,'Master Data'!$AB$38))))))</f>
        <v>56.550000000000004</v>
      </c>
      <c r="X19" s="115">
        <f t="shared" si="3"/>
        <v>43.763384615384609</v>
      </c>
      <c r="Y19" s="127">
        <f t="shared" si="4"/>
        <v>302.58030769230766</v>
      </c>
      <c r="Z19" s="128">
        <f t="shared" si="1"/>
        <v>302.58030769230766</v>
      </c>
      <c r="AA19" s="127">
        <f t="shared" si="5"/>
        <v>330.24697435897434</v>
      </c>
      <c r="AB19" s="286">
        <f t="shared" si="6"/>
        <v>45.986717948717946</v>
      </c>
      <c r="AC19" s="127">
        <f t="shared" si="7"/>
        <v>275.92030769230769</v>
      </c>
      <c r="AD19" s="287">
        <f t="shared" si="8"/>
        <v>413.88046153846153</v>
      </c>
    </row>
    <row r="20" spans="1:30" ht="30">
      <c r="A20" s="125">
        <f t="shared" si="9"/>
        <v>18</v>
      </c>
      <c r="B20" s="119" t="s">
        <v>176</v>
      </c>
      <c r="C20" s="121" t="s">
        <v>177</v>
      </c>
      <c r="D20" s="126" t="s">
        <v>292</v>
      </c>
      <c r="E20" s="116" t="s">
        <v>295</v>
      </c>
      <c r="F20" s="126">
        <v>1000</v>
      </c>
      <c r="G20" s="126" t="s">
        <v>312</v>
      </c>
      <c r="H20" s="126" t="s">
        <v>320</v>
      </c>
      <c r="I20" s="125" t="s">
        <v>371</v>
      </c>
      <c r="J20" s="116">
        <v>20</v>
      </c>
      <c r="K20" s="117">
        <f>IF(D20="In House Production",INDEX('Master Data'!$H$552:$J$580,MATCH('Production Cost'!B20,'Master Data'!$H$552:$H$580,0),3),VLOOKUP($B20,'Master Data'!$B:$W,IF(G20="Wholesale",21,22),FALSE))</f>
        <v>0.31919999999999998</v>
      </c>
      <c r="L20" s="115">
        <v>0</v>
      </c>
      <c r="M20" s="115">
        <f>INDEX('Master Data'!$B$323:$K$376,MATCH('Production Cost'!$B20,'Master Data'!$B$323:$B$376,0),MATCH('Production Cost'!F$3,'Master Data'!$B$323:$K$323,0))</f>
        <v>1</v>
      </c>
      <c r="N20" s="116" t="str">
        <f>IF(H20="Maruthi Plastics",INDEX('Master Data'!$B$202:$L$255,MATCH('Production Cost'!B20,'Master Data'!$B$202:$B$255,0),MATCH('Production Cost'!F20,'Master Data'!$B$202:$L$202,0)),INDEX('Master Data'!$B$261:$L$314,MATCH('Production Cost'!B20,'Master Data'!$B$261:$B$314,0),MATCH('Production Cost'!F20,'Master Data'!$B$261:$L$261,0)))</f>
        <v>One side Transparent Flat Bottom with Zipper (1000Gm)</v>
      </c>
      <c r="O20" s="115" t="e">
        <f t="shared" ref="O20" si="10">1000/L20</f>
        <v>#DIV/0!</v>
      </c>
      <c r="P20" s="117">
        <f>+VLOOKUP($N20,'Master Data'!$B:$W,IF(G20="Wholesale",21,22),FALSE)</f>
        <v>11.94</v>
      </c>
      <c r="Q20" s="164">
        <f t="shared" ref="Q20" si="11">+P20*M20</f>
        <v>11.94</v>
      </c>
      <c r="R20" s="115">
        <f>IF(G20="Wholesale",'Master Data'!$V$127*$M20,'Master Data'!$W$127*$M20)</f>
        <v>2.2000000000000002</v>
      </c>
      <c r="S20" s="115">
        <f>IF(G20="Wholesale",'Master Data'!$V$111*$M20,'Master Data'!$W$111*$M20)</f>
        <v>3.0769230769230771</v>
      </c>
      <c r="T20" s="115">
        <f>IF(F20=1000,'Master Data'!$AF$40,IF(F20=500,'Master Data'!$AF$39,IF(F20=250,'Master Data'!$AF$39,'Master Data'!$AF$38)))</f>
        <v>11.116666666666667</v>
      </c>
      <c r="U20" s="117">
        <f>IF(F20=1000,VLOOKUP($E20,'Master Data'!$B:$W,IF(G20="Wholesale",21,22),FALSE),IF(F20=500,VLOOKUP($E20,'Master Data'!$B:$W,IF(G20="Wholesale",21,22),FALSE)/2,IF(F20=250,VLOOKUP($E20,'Master Data'!$B:$W,IF(G20="Wholesale",21,22),FALSE)/3,IF(F20=100,VLOOKUP($E20,'Master Data'!$B:$W,IF(G20="Wholesale",21,22),FALSE)/4,IF(F20=50,VLOOKUP($E20,'Master Data'!$B:$W,IF(G20="Wholesale",21,22),FALSE)/6,IF(F20=25,VLOOKUP($E20,'Master Data'!$B:$W,IF(G20="Wholesale",21,22),FALSE)/8,VLOOKUP($E20,'Master Data'!$B:$W,IF(G20="Wholesale",21,22),FALSE)/8))))))</f>
        <v>0</v>
      </c>
      <c r="V20" s="117">
        <f>+VLOOKUP($I20,'Master Data'!$B:$V,IF(G20="Wholesale",20,21),FALSE)</f>
        <v>40</v>
      </c>
      <c r="W20" s="144">
        <f>IF(F20=1000,'Master Data'!$AB$32,IF(F20=500,'Master Data'!$AB$33,IF(F20=250,'Master Data'!$AB$34,IF(F20=100,'Master Data'!$AB$35,IF(F20=50,'Master Data'!$AB$36,IF(F20=25,'Master Data'!$AB$37,'Master Data'!$AB$38))))))</f>
        <v>56.550000000000004</v>
      </c>
      <c r="X20" s="115">
        <f>+((K20*F20)+$Q20+$R20+$U20+S20)*($J20/100)</f>
        <v>67.28338461538462</v>
      </c>
      <c r="Y20" s="127">
        <f t="shared" ref="Y20" si="12">+(F20*K20)+Q20+R20+S20+U20+(IF(F20=1000,V20,IF(F20=500,V20/2,IF(F20=250,V20/4,IF(F20=100,V20/10,IF(F20=50,V20/20,V20/40)))))+X20)</f>
        <v>443.70030769230766</v>
      </c>
      <c r="Z20" s="128" t="e">
        <f t="shared" ref="Z20" si="13">+Y20/L20</f>
        <v>#DIV/0!</v>
      </c>
      <c r="AA20" s="127">
        <f t="shared" ref="AA20" si="14">(F20*K20)+Q20+R20+S20+T20+U20+W20+X20</f>
        <v>471.3669743589744</v>
      </c>
      <c r="AB20" s="286">
        <f t="shared" si="6"/>
        <v>69.506717948717949</v>
      </c>
      <c r="AC20" s="127">
        <f t="shared" si="7"/>
        <v>417.04030769230769</v>
      </c>
      <c r="AD20" s="287">
        <f t="shared" si="8"/>
        <v>625.5604615384616</v>
      </c>
    </row>
    <row r="21" spans="1:30" ht="30">
      <c r="A21" s="125">
        <f t="shared" si="9"/>
        <v>19</v>
      </c>
      <c r="B21" s="119" t="s">
        <v>228</v>
      </c>
      <c r="C21" s="119" t="s">
        <v>178</v>
      </c>
      <c r="D21" s="126" t="s">
        <v>292</v>
      </c>
      <c r="E21" s="116" t="s">
        <v>295</v>
      </c>
      <c r="F21" s="126">
        <v>1000</v>
      </c>
      <c r="G21" s="126" t="s">
        <v>312</v>
      </c>
      <c r="H21" s="126" t="s">
        <v>320</v>
      </c>
      <c r="I21" s="125" t="s">
        <v>371</v>
      </c>
      <c r="J21" s="116">
        <v>20</v>
      </c>
      <c r="K21" s="117">
        <f>IF(D21="In House Production",INDEX('Master Data'!$H$552:$J$580,MATCH('Production Cost'!B21,'Master Data'!$H$552:$H$580,0),3),VLOOKUP($B21,'Master Data'!$B:$W,IF(G21="Wholesale",21,22),FALSE))</f>
        <v>0.22511999999999999</v>
      </c>
      <c r="L21" s="115">
        <v>1</v>
      </c>
      <c r="M21" s="115">
        <f>INDEX('Master Data'!$B$323:$K$376,MATCH('Production Cost'!$B21,'Master Data'!$B$323:$B$376,0),MATCH('Production Cost'!F$3,'Master Data'!$B$323:$K$323,0))</f>
        <v>1</v>
      </c>
      <c r="N21" s="116" t="str">
        <f>IF(H21="Maruthi Plastics",INDEX('Master Data'!$B$202:$L$255,MATCH('Production Cost'!B21,'Master Data'!$B$202:$B$255,0),MATCH('Production Cost'!F21,'Master Data'!$B$202:$L$202,0)),INDEX('Master Data'!$B$261:$L$314,MATCH('Production Cost'!B21,'Master Data'!$B$261:$B$314,0),MATCH('Production Cost'!F21,'Master Data'!$B$261:$L$261,0)))</f>
        <v>One side Transparent Flat Bottom with Zipper (1000Gm)</v>
      </c>
      <c r="O21" s="115">
        <f t="shared" si="0"/>
        <v>1000</v>
      </c>
      <c r="P21" s="117">
        <f>+VLOOKUP($N21,'Master Data'!$B:$W,IF(G21="Wholesale",21,22),FALSE)</f>
        <v>11.94</v>
      </c>
      <c r="Q21" s="164">
        <f t="shared" si="2"/>
        <v>11.94</v>
      </c>
      <c r="R21" s="115">
        <f>IF(G21="Wholesale",'Master Data'!$V$127*$M21,'Master Data'!$W$127*$M21)</f>
        <v>2.2000000000000002</v>
      </c>
      <c r="S21" s="115">
        <f>IF(G21="Wholesale",'Master Data'!$V$111*$M21,'Master Data'!$W$111*$M21)</f>
        <v>3.0769230769230771</v>
      </c>
      <c r="T21" s="115">
        <f>IF(F21=1000,'Master Data'!$AF$40,IF(F21=500,'Master Data'!$AF$39,IF(F21=250,'Master Data'!$AF$39,'Master Data'!$AF$38)))</f>
        <v>11.116666666666667</v>
      </c>
      <c r="U21" s="117">
        <f>IF(F21=1000,VLOOKUP($E21,'Master Data'!$B:$W,IF(G21="Wholesale",21,22),FALSE),IF(F21=500,VLOOKUP($E21,'Master Data'!$B:$W,IF(G21="Wholesale",21,22),FALSE)/2,IF(F21=250,VLOOKUP($E21,'Master Data'!$B:$W,IF(G21="Wholesale",21,22),FALSE)/3,IF(F21=100,VLOOKUP($E21,'Master Data'!$B:$W,IF(G21="Wholesale",21,22),FALSE)/4,IF(F21=50,VLOOKUP($E21,'Master Data'!$B:$W,IF(G21="Wholesale",21,22),FALSE)/6,IF(F21=25,VLOOKUP($E21,'Master Data'!$B:$W,IF(G21="Wholesale",21,22),FALSE)/8,VLOOKUP($E21,'Master Data'!$B:$W,IF(G21="Wholesale",21,22),FALSE)/8))))))</f>
        <v>0</v>
      </c>
      <c r="V21" s="117">
        <f>+VLOOKUP($I21,'Master Data'!$B:$V,IF(G21="Wholesale",20,21),FALSE)</f>
        <v>40</v>
      </c>
      <c r="W21" s="144">
        <f>IF(F21=1000,'Master Data'!$AB$32,IF(F21=500,'Master Data'!$AB$33,IF(F21=250,'Master Data'!$AB$34,IF(F21=100,'Master Data'!$AB$35,IF(F21=50,'Master Data'!$AB$36,IF(F21=25,'Master Data'!$AB$37,'Master Data'!$AB$38))))))</f>
        <v>56.550000000000004</v>
      </c>
      <c r="X21" s="115">
        <f t="shared" si="3"/>
        <v>48.46738461538461</v>
      </c>
      <c r="Y21" s="127">
        <f t="shared" si="4"/>
        <v>330.80430769230765</v>
      </c>
      <c r="Z21" s="128">
        <f t="shared" si="1"/>
        <v>330.80430769230765</v>
      </c>
      <c r="AA21" s="127">
        <f t="shared" si="5"/>
        <v>358.47097435897433</v>
      </c>
      <c r="AB21" s="286">
        <f t="shared" si="6"/>
        <v>50.690717948717946</v>
      </c>
      <c r="AC21" s="127">
        <f t="shared" si="7"/>
        <v>304.14430769230762</v>
      </c>
      <c r="AD21" s="287">
        <f t="shared" si="8"/>
        <v>456.21646153846143</v>
      </c>
    </row>
    <row r="22" spans="1:30" ht="30">
      <c r="A22" s="125">
        <f t="shared" si="9"/>
        <v>20</v>
      </c>
      <c r="B22" s="134" t="s">
        <v>555</v>
      </c>
      <c r="C22" s="119"/>
      <c r="D22" s="126" t="s">
        <v>292</v>
      </c>
      <c r="E22" s="116" t="s">
        <v>295</v>
      </c>
      <c r="F22" s="126">
        <v>1000</v>
      </c>
      <c r="G22" s="126" t="s">
        <v>312</v>
      </c>
      <c r="H22" s="126" t="s">
        <v>320</v>
      </c>
      <c r="I22" s="125" t="s">
        <v>371</v>
      </c>
      <c r="J22" s="116">
        <v>21</v>
      </c>
      <c r="K22" s="117">
        <f>IF(D22="In House Production",INDEX('Master Data'!$H$552:$J$580,MATCH('Production Cost'!B22,'Master Data'!$H$552:$H$580,0),3),VLOOKUP($B22,'Master Data'!$B:$W,IF(G22="Wholesale",21,22),FALSE))</f>
        <v>0.5714149818709211</v>
      </c>
      <c r="L22" s="115">
        <v>2</v>
      </c>
      <c r="M22" s="115">
        <f>INDEX('Master Data'!$B$323:$K$376,MATCH('Production Cost'!$B22,'Master Data'!$B$323:$B$376,0),MATCH('Production Cost'!F$3,'Master Data'!$B$323:$K$323,0))</f>
        <v>1</v>
      </c>
      <c r="N22" s="116" t="str">
        <f>IF(H22="Maruthi Plastics",INDEX('Master Data'!$B$202:$L$255,MATCH('Production Cost'!B22,'Master Data'!$B$202:$B$255,0),MATCH('Production Cost'!F22,'Master Data'!$B$202:$L$202,0)),INDEX('Master Data'!$B$261:$L$314,MATCH('Production Cost'!B22,'Master Data'!$B$261:$B$314,0),MATCH('Production Cost'!F22,'Master Data'!$B$261:$L$261,0)))</f>
        <v>One side Transparent Flat Bottom with Zipper (1000Gm)</v>
      </c>
      <c r="O22" s="115">
        <f t="shared" ref="O22:O23" si="15">1000/L22</f>
        <v>500</v>
      </c>
      <c r="P22" s="117">
        <f>+VLOOKUP($N22,'Master Data'!$B:$W,IF(G22="Wholesale",21,22),FALSE)</f>
        <v>11.94</v>
      </c>
      <c r="Q22" s="164">
        <f t="shared" ref="Q22:Q23" si="16">+P22*M22</f>
        <v>11.94</v>
      </c>
      <c r="R22" s="115">
        <f>IF(G22="Wholesale",'Master Data'!$V$127*$M22,'Master Data'!$W$127*$M22)</f>
        <v>2.2000000000000002</v>
      </c>
      <c r="S22" s="115">
        <f>IF(G22="Wholesale",'Master Data'!$V$111*$M22,'Master Data'!$W$111*$M22)</f>
        <v>3.0769230769230771</v>
      </c>
      <c r="T22" s="115">
        <f>IF(F22=1000,'Master Data'!$AF$40,IF(F22=500,'Master Data'!$AF$39,IF(F22=250,'Master Data'!$AF$39,'Master Data'!$AF$38)))</f>
        <v>11.116666666666667</v>
      </c>
      <c r="U22" s="117">
        <f>IF(F22=1000,VLOOKUP($E22,'Master Data'!$B:$W,IF(G22="Wholesale",21,22),FALSE),IF(F22=500,VLOOKUP($E22,'Master Data'!$B:$W,IF(G22="Wholesale",21,22),FALSE)/2,IF(F22=250,VLOOKUP($E22,'Master Data'!$B:$W,IF(G22="Wholesale",21,22),FALSE)/3,IF(F22=100,VLOOKUP($E22,'Master Data'!$B:$W,IF(G22="Wholesale",21,22),FALSE)/4,IF(F22=50,VLOOKUP($E22,'Master Data'!$B:$W,IF(G22="Wholesale",21,22),FALSE)/6,IF(F22=25,VLOOKUP($E22,'Master Data'!$B:$W,IF(G22="Wholesale",21,22),FALSE)/8,VLOOKUP($E22,'Master Data'!$B:$W,IF(G22="Wholesale",21,22),FALSE)/8))))))</f>
        <v>0</v>
      </c>
      <c r="V22" s="117">
        <f>+VLOOKUP($I22,'Master Data'!$B:$V,IF(G22="Wholesale",20,21),FALSE)</f>
        <v>40</v>
      </c>
      <c r="W22" s="144">
        <f>IF(F22=1000,'Master Data'!$AB$32,IF(F22=500,'Master Data'!$AB$33,IF(F22=250,'Master Data'!$AB$34,IF(F22=100,'Master Data'!$AB$35,IF(F22=50,'Master Data'!$AB$36,IF(F22=25,'Master Data'!$AB$37,'Master Data'!$AB$38))))))</f>
        <v>56.550000000000004</v>
      </c>
      <c r="X22" s="115">
        <f t="shared" ref="X22:X23" si="17">+((K22*F22)+$Q22+$R22+$U22+S22)*($J22/100)</f>
        <v>123.6127000390473</v>
      </c>
      <c r="Y22" s="127">
        <f t="shared" ref="Y22:Y23" si="18">+(F22*K22)+Q22+R22+S22+U22+(IF(F22=1000,V22,IF(F22=500,V22/2,IF(F22=250,V22/4,IF(F22=100,V22/10,IF(F22=50,V22/20,V22/40)))))+X22)</f>
        <v>752.24460498689155</v>
      </c>
      <c r="Z22" s="128">
        <f t="shared" ref="Z22:Z23" si="19">+Y22/L22</f>
        <v>376.12230249344577</v>
      </c>
      <c r="AA22" s="127">
        <f t="shared" ref="AA22:AA23" si="20">(F22*K22)+Q22+R22+S22+T22+U22+W22+X22</f>
        <v>779.91127165355829</v>
      </c>
      <c r="AB22" s="286">
        <f t="shared" ref="AB22:AB23" si="21">+((K22*F22)+$Q22+$R22+$U22+$S22+$T22)*($J22/100)</f>
        <v>125.9472000390473</v>
      </c>
      <c r="AC22" s="127">
        <f t="shared" ref="AC22:AC23" si="22">(F22*K22)+Q22+R22+S22+T22+U22+AB22</f>
        <v>725.69577165355827</v>
      </c>
      <c r="AD22" s="287">
        <f t="shared" ref="AD22:AD23" si="23">AC22*1.5</f>
        <v>1088.5436574803375</v>
      </c>
    </row>
    <row r="23" spans="1:30" ht="30">
      <c r="A23" s="125">
        <f t="shared" si="9"/>
        <v>21</v>
      </c>
      <c r="B23" s="119" t="s">
        <v>540</v>
      </c>
      <c r="C23" s="119"/>
      <c r="D23" s="126" t="s">
        <v>292</v>
      </c>
      <c r="E23" s="116" t="s">
        <v>295</v>
      </c>
      <c r="F23" s="126">
        <v>1000</v>
      </c>
      <c r="G23" s="126" t="s">
        <v>312</v>
      </c>
      <c r="H23" s="126" t="s">
        <v>320</v>
      </c>
      <c r="I23" s="125" t="s">
        <v>371</v>
      </c>
      <c r="J23" s="116">
        <v>22</v>
      </c>
      <c r="K23" s="117">
        <f>IF(D23="In House Production",INDEX('Master Data'!$H$552:$J$580,MATCH('Production Cost'!B23,'Master Data'!$H$552:$H$580,0),3),VLOOKUP($B23,'Master Data'!$B:$W,IF(G23="Wholesale",21,22),FALSE))</f>
        <v>1.0563</v>
      </c>
      <c r="L23" s="115">
        <v>3</v>
      </c>
      <c r="M23" s="115">
        <f>INDEX('Master Data'!$B$323:$K$376,MATCH('Production Cost'!$B23,'Master Data'!$B$323:$B$376,0),MATCH('Production Cost'!F$3,'Master Data'!$B$323:$K$323,0))</f>
        <v>1</v>
      </c>
      <c r="N23" s="116" t="str">
        <f>IF(H23="Maruthi Plastics",INDEX('Master Data'!$B$202:$L$255,MATCH('Production Cost'!B23,'Master Data'!$B$202:$B$255,0),MATCH('Production Cost'!F23,'Master Data'!$B$202:$L$202,0)),INDEX('Master Data'!$B$261:$L$314,MATCH('Production Cost'!B23,'Master Data'!$B$261:$B$314,0),MATCH('Production Cost'!F23,'Master Data'!$B$261:$L$261,0)))</f>
        <v>One side Transparent Flat Bottom with Zipper (1000Gm)</v>
      </c>
      <c r="O23" s="115">
        <f t="shared" si="15"/>
        <v>333.33333333333331</v>
      </c>
      <c r="P23" s="117">
        <f>+VLOOKUP($N23,'Master Data'!$B:$W,IF(G23="Wholesale",21,22),FALSE)</f>
        <v>11.94</v>
      </c>
      <c r="Q23" s="164">
        <f t="shared" si="16"/>
        <v>11.94</v>
      </c>
      <c r="R23" s="115">
        <f>IF(G23="Wholesale",'Master Data'!$V$127*$M23,'Master Data'!$W$127*$M23)</f>
        <v>2.2000000000000002</v>
      </c>
      <c r="S23" s="115">
        <f>IF(G23="Wholesale",'Master Data'!$V$111*$M23,'Master Data'!$W$111*$M23)</f>
        <v>3.0769230769230771</v>
      </c>
      <c r="T23" s="115">
        <f>IF(F23=1000,'Master Data'!$AF$40,IF(F23=500,'Master Data'!$AF$39,IF(F23=250,'Master Data'!$AF$39,'Master Data'!$AF$38)))</f>
        <v>11.116666666666667</v>
      </c>
      <c r="U23" s="117">
        <f>IF(F23=1000,VLOOKUP($E23,'Master Data'!$B:$W,IF(G23="Wholesale",21,22),FALSE),IF(F23=500,VLOOKUP($E23,'Master Data'!$B:$W,IF(G23="Wholesale",21,22),FALSE)/2,IF(F23=250,VLOOKUP($E23,'Master Data'!$B:$W,IF(G23="Wholesale",21,22),FALSE)/3,IF(F23=100,VLOOKUP($E23,'Master Data'!$B:$W,IF(G23="Wholesale",21,22),FALSE)/4,IF(F23=50,VLOOKUP($E23,'Master Data'!$B:$W,IF(G23="Wholesale",21,22),FALSE)/6,IF(F23=25,VLOOKUP($E23,'Master Data'!$B:$W,IF(G23="Wholesale",21,22),FALSE)/8,VLOOKUP($E23,'Master Data'!$B:$W,IF(G23="Wholesale",21,22),FALSE)/8))))))</f>
        <v>0</v>
      </c>
      <c r="V23" s="117">
        <f>+VLOOKUP($I23,'Master Data'!$B:$V,IF(G23="Wholesale",20,21),FALSE)</f>
        <v>40</v>
      </c>
      <c r="W23" s="144">
        <f>IF(F23=1000,'Master Data'!$AB$32,IF(F23=500,'Master Data'!$AB$33,IF(F23=250,'Master Data'!$AB$34,IF(F23=100,'Master Data'!$AB$35,IF(F23=50,'Master Data'!$AB$36,IF(F23=25,'Master Data'!$AB$37,'Master Data'!$AB$38))))))</f>
        <v>56.550000000000004</v>
      </c>
      <c r="X23" s="115">
        <f t="shared" si="17"/>
        <v>236.1737230769231</v>
      </c>
      <c r="Y23" s="127">
        <f t="shared" si="18"/>
        <v>1349.6906461538463</v>
      </c>
      <c r="Z23" s="128">
        <f t="shared" si="19"/>
        <v>449.89688205128209</v>
      </c>
      <c r="AA23" s="127">
        <f t="shared" si="20"/>
        <v>1377.3573128205128</v>
      </c>
      <c r="AB23" s="286">
        <f t="shared" si="21"/>
        <v>238.61938974358975</v>
      </c>
      <c r="AC23" s="127">
        <f t="shared" si="22"/>
        <v>1323.2529794871793</v>
      </c>
      <c r="AD23" s="287">
        <f t="shared" si="23"/>
        <v>1984.879469230769</v>
      </c>
    </row>
    <row r="24" spans="1:30" ht="30">
      <c r="A24" s="125">
        <f t="shared" si="9"/>
        <v>22</v>
      </c>
      <c r="B24" s="119" t="s">
        <v>179</v>
      </c>
      <c r="C24" s="121" t="s">
        <v>180</v>
      </c>
      <c r="D24" s="126" t="str">
        <f>+VLOOKUP($B24,'Master Data'!$B$20:$W$197,2,FALSE)</f>
        <v>MS Malagi</v>
      </c>
      <c r="E24" s="116" t="s">
        <v>295</v>
      </c>
      <c r="F24" s="126">
        <v>1000</v>
      </c>
      <c r="G24" s="126" t="s">
        <v>312</v>
      </c>
      <c r="H24" s="126" t="s">
        <v>320</v>
      </c>
      <c r="I24" s="125" t="s">
        <v>371</v>
      </c>
      <c r="J24" s="116">
        <v>10</v>
      </c>
      <c r="K24" s="117">
        <f>IF(D24="In House Production",INDEX('Master Data'!$H$552:$J$580,MATCH('Production Cost'!B24,'Master Data'!$H$552:$H$580,0),3),VLOOKUP($B24,'Master Data'!$B:$W,IF(G24="Wholesale",21,22),FALSE))</f>
        <v>0.28100000000000003</v>
      </c>
      <c r="L24" s="115">
        <v>1</v>
      </c>
      <c r="M24" s="115">
        <f>INDEX('Master Data'!$B$323:$K$376,MATCH('Production Cost'!$B24,'Master Data'!$B$323:$B$376,0),MATCH('Production Cost'!F$3,'Master Data'!$B$323:$K$323,0))</f>
        <v>1</v>
      </c>
      <c r="N24" s="116" t="str">
        <f>IF(H24="Maruthi Plastics",INDEX('Master Data'!$B$202:$L$255,MATCH('Production Cost'!B24,'Master Data'!$B$202:$B$255,0),MATCH('Production Cost'!F24,'Master Data'!$B$202:$L$202,0)),INDEX('Master Data'!$B$261:$L$314,MATCH('Production Cost'!B24,'Master Data'!$B$261:$B$314,0),MATCH('Production Cost'!F24,'Master Data'!$B$261:$L$261,0)))</f>
        <v>One side Transparent Flat Bottom with Zipper (1000Gm)</v>
      </c>
      <c r="O24" s="115">
        <f t="shared" si="0"/>
        <v>1000</v>
      </c>
      <c r="P24" s="117">
        <f>+VLOOKUP($N24,'Master Data'!$B:$W,IF(G24="Wholesale",21,22),FALSE)</f>
        <v>11.94</v>
      </c>
      <c r="Q24" s="164">
        <f t="shared" si="2"/>
        <v>11.94</v>
      </c>
      <c r="R24" s="115">
        <f>IF(G24="Wholesale",'Master Data'!$V$127*$M24,'Master Data'!$W$127*$M24)</f>
        <v>2.2000000000000002</v>
      </c>
      <c r="S24" s="115">
        <f>IF(G24="Wholesale",'Master Data'!$V$111*$M24,'Master Data'!$W$111*$M24)</f>
        <v>3.0769230769230771</v>
      </c>
      <c r="T24" s="115">
        <f>IF(F24=1000,'Master Data'!$AF$40,IF(F24=500,'Master Data'!$AF$39,IF(F24=250,'Master Data'!$AF$39,'Master Data'!$AF$38)))</f>
        <v>11.116666666666667</v>
      </c>
      <c r="U24" s="117">
        <f>IF(F24=1000,VLOOKUP($E24,'Master Data'!$B:$W,IF(G24="Wholesale",21,22),FALSE),IF(F24=500,VLOOKUP($E24,'Master Data'!$B:$W,IF(G24="Wholesale",21,22),FALSE)/2,IF(F24=250,VLOOKUP($E24,'Master Data'!$B:$W,IF(G24="Wholesale",21,22),FALSE)/3,IF(F24=100,VLOOKUP($E24,'Master Data'!$B:$W,IF(G24="Wholesale",21,22),FALSE)/4,IF(F24=50,VLOOKUP($E24,'Master Data'!$B:$W,IF(G24="Wholesale",21,22),FALSE)/6,IF(F24=25,VLOOKUP($E24,'Master Data'!$B:$W,IF(G24="Wholesale",21,22),FALSE)/8,VLOOKUP($E24,'Master Data'!$B:$W,IF(G24="Wholesale",21,22),FALSE)/8))))))</f>
        <v>0</v>
      </c>
      <c r="V24" s="117">
        <f>+VLOOKUP($I24,'Master Data'!$B:$V,IF(G24="Wholesale",20,21),FALSE)</f>
        <v>40</v>
      </c>
      <c r="W24" s="144">
        <f>IF(F24=1000,'Master Data'!$AB$32,IF(F24=500,'Master Data'!$AB$33,IF(F24=250,'Master Data'!$AB$34,IF(F24=100,'Master Data'!$AB$35,IF(F24=50,'Master Data'!$AB$36,IF(F24=25,'Master Data'!$AB$37,'Master Data'!$AB$38))))))</f>
        <v>56.550000000000004</v>
      </c>
      <c r="X24" s="115">
        <f t="shared" si="3"/>
        <v>29.821692307692309</v>
      </c>
      <c r="Y24" s="127">
        <f t="shared" si="4"/>
        <v>368.03861538461535</v>
      </c>
      <c r="Z24" s="128">
        <f t="shared" si="1"/>
        <v>368.03861538461535</v>
      </c>
      <c r="AA24" s="127">
        <f t="shared" si="5"/>
        <v>395.7052820512821</v>
      </c>
      <c r="AB24" s="286">
        <f t="shared" si="6"/>
        <v>30.933358974358978</v>
      </c>
      <c r="AC24" s="127">
        <f t="shared" si="7"/>
        <v>340.26694871794871</v>
      </c>
      <c r="AD24" s="287">
        <f t="shared" si="8"/>
        <v>510.40042307692306</v>
      </c>
    </row>
    <row r="25" spans="1:30" ht="30">
      <c r="A25" s="125">
        <f t="shared" si="9"/>
        <v>23</v>
      </c>
      <c r="B25" s="119" t="s">
        <v>181</v>
      </c>
      <c r="C25" s="119" t="s">
        <v>182</v>
      </c>
      <c r="D25" s="126" t="str">
        <f>+VLOOKUP($B25,'Master Data'!$B$20:$W$197,2,FALSE)</f>
        <v>MS Malagi</v>
      </c>
      <c r="E25" s="116" t="s">
        <v>295</v>
      </c>
      <c r="F25" s="126">
        <v>1000</v>
      </c>
      <c r="G25" s="126" t="s">
        <v>312</v>
      </c>
      <c r="H25" s="126" t="s">
        <v>320</v>
      </c>
      <c r="I25" s="125" t="s">
        <v>371</v>
      </c>
      <c r="J25" s="116">
        <v>10</v>
      </c>
      <c r="K25" s="117">
        <f>IF(D25="In House Production",INDEX('Master Data'!$H$552:$J$580,MATCH('Production Cost'!B25,'Master Data'!$H$552:$H$580,0),3),VLOOKUP($B25,'Master Data'!$B:$W,IF(G25="Wholesale",21,22),FALSE))</f>
        <v>0.28599999999999998</v>
      </c>
      <c r="L25" s="115">
        <v>1</v>
      </c>
      <c r="M25" s="115">
        <f>INDEX('Master Data'!$B$323:$K$376,MATCH('Production Cost'!$B25,'Master Data'!$B$323:$B$376,0),MATCH('Production Cost'!F$3,'Master Data'!$B$323:$K$323,0))</f>
        <v>1</v>
      </c>
      <c r="N25" s="116" t="str">
        <f>IF(H25="Maruthi Plastics",INDEX('Master Data'!$B$202:$L$255,MATCH('Production Cost'!B25,'Master Data'!$B$202:$B$255,0),MATCH('Production Cost'!F25,'Master Data'!$B$202:$L$202,0)),INDEX('Master Data'!$B$261:$L$314,MATCH('Production Cost'!B25,'Master Data'!$B$261:$B$314,0),MATCH('Production Cost'!F25,'Master Data'!$B$261:$L$261,0)))</f>
        <v>One side Transparent Flat Bottom with Zipper (1000Gm)</v>
      </c>
      <c r="O25" s="115">
        <f t="shared" si="0"/>
        <v>1000</v>
      </c>
      <c r="P25" s="117">
        <f>+VLOOKUP($N25,'Master Data'!$B:$W,IF(G25="Wholesale",21,22),FALSE)</f>
        <v>11.94</v>
      </c>
      <c r="Q25" s="164">
        <f t="shared" si="2"/>
        <v>11.94</v>
      </c>
      <c r="R25" s="115">
        <f>IF(G25="Wholesale",'Master Data'!$V$127*$M25,'Master Data'!$W$127*$M25)</f>
        <v>2.2000000000000002</v>
      </c>
      <c r="S25" s="115">
        <f>IF(G25="Wholesale",'Master Data'!$V$111*$M25,'Master Data'!$W$111*$M25)</f>
        <v>3.0769230769230771</v>
      </c>
      <c r="T25" s="115">
        <f>IF(F25=1000,'Master Data'!$AF$40,IF(F25=500,'Master Data'!$AF$39,IF(F25=250,'Master Data'!$AF$39,'Master Data'!$AF$38)))</f>
        <v>11.116666666666667</v>
      </c>
      <c r="U25" s="117">
        <f>IF(F25=1000,VLOOKUP($E25,'Master Data'!$B:$W,IF(G25="Wholesale",21,22),FALSE),IF(F25=500,VLOOKUP($E25,'Master Data'!$B:$W,IF(G25="Wholesale",21,22),FALSE)/2,IF(F25=250,VLOOKUP($E25,'Master Data'!$B:$W,IF(G25="Wholesale",21,22),FALSE)/3,IF(F25=100,VLOOKUP($E25,'Master Data'!$B:$W,IF(G25="Wholesale",21,22),FALSE)/4,IF(F25=50,VLOOKUP($E25,'Master Data'!$B:$W,IF(G25="Wholesale",21,22),FALSE)/6,IF(F25=25,VLOOKUP($E25,'Master Data'!$B:$W,IF(G25="Wholesale",21,22),FALSE)/8,VLOOKUP($E25,'Master Data'!$B:$W,IF(G25="Wholesale",21,22),FALSE)/8))))))</f>
        <v>0</v>
      </c>
      <c r="V25" s="117">
        <f>+VLOOKUP($I25,'Master Data'!$B:$V,IF(G25="Wholesale",20,21),FALSE)</f>
        <v>40</v>
      </c>
      <c r="W25" s="144">
        <f>IF(F25=1000,'Master Data'!$AB$32,IF(F25=500,'Master Data'!$AB$33,IF(F25=250,'Master Data'!$AB$34,IF(F25=100,'Master Data'!$AB$35,IF(F25=50,'Master Data'!$AB$36,IF(F25=25,'Master Data'!$AB$37,'Master Data'!$AB$38))))))</f>
        <v>56.550000000000004</v>
      </c>
      <c r="X25" s="115">
        <f t="shared" si="3"/>
        <v>30.321692307692309</v>
      </c>
      <c r="Y25" s="127">
        <f t="shared" si="4"/>
        <v>373.53861538461535</v>
      </c>
      <c r="Z25" s="128">
        <f t="shared" si="1"/>
        <v>373.53861538461535</v>
      </c>
      <c r="AA25" s="127">
        <f t="shared" si="5"/>
        <v>401.2052820512821</v>
      </c>
      <c r="AB25" s="286">
        <f t="shared" si="6"/>
        <v>31.433358974358978</v>
      </c>
      <c r="AC25" s="127">
        <f t="shared" si="7"/>
        <v>345.76694871794871</v>
      </c>
      <c r="AD25" s="287">
        <f t="shared" si="8"/>
        <v>518.65042307692306</v>
      </c>
    </row>
    <row r="26" spans="1:30" ht="30">
      <c r="A26" s="125">
        <f t="shared" si="9"/>
        <v>24</v>
      </c>
      <c r="B26" s="119" t="s">
        <v>183</v>
      </c>
      <c r="C26" s="121" t="s">
        <v>184</v>
      </c>
      <c r="D26" s="126" t="str">
        <f>+VLOOKUP($B26,'Master Data'!$B$20:$W$197,2,FALSE)</f>
        <v>MS Malagi</v>
      </c>
      <c r="E26" s="116" t="s">
        <v>295</v>
      </c>
      <c r="F26" s="126">
        <v>1000</v>
      </c>
      <c r="G26" s="126" t="s">
        <v>312</v>
      </c>
      <c r="H26" s="126" t="s">
        <v>320</v>
      </c>
      <c r="I26" s="125" t="s">
        <v>371</v>
      </c>
      <c r="J26" s="116">
        <v>10</v>
      </c>
      <c r="K26" s="117">
        <f>IF(D26="In House Production",INDEX('Master Data'!$H$552:$J$580,MATCH('Production Cost'!B26,'Master Data'!$H$552:$H$580,0),3),VLOOKUP($B26,'Master Data'!$B:$W,IF(G26="Wholesale",21,22),FALSE))</f>
        <v>0.28100000000000003</v>
      </c>
      <c r="L26" s="115">
        <v>1</v>
      </c>
      <c r="M26" s="115">
        <f>INDEX('Master Data'!$B$323:$K$376,MATCH('Production Cost'!$B26,'Master Data'!$B$323:$B$376,0),MATCH('Production Cost'!F$3,'Master Data'!$B$323:$K$323,0))</f>
        <v>1</v>
      </c>
      <c r="N26" s="116" t="str">
        <f>IF(H26="Maruthi Plastics",INDEX('Master Data'!$B$202:$L$255,MATCH('Production Cost'!B26,'Master Data'!$B$202:$B$255,0),MATCH('Production Cost'!F26,'Master Data'!$B$202:$L$202,0)),INDEX('Master Data'!$B$261:$L$314,MATCH('Production Cost'!B26,'Master Data'!$B$261:$B$314,0),MATCH('Production Cost'!F26,'Master Data'!$B$261:$L$261,0)))</f>
        <v>One side Transparent Flat Bottom with Zipper (1000Gm)</v>
      </c>
      <c r="O26" s="115">
        <f t="shared" si="0"/>
        <v>1000</v>
      </c>
      <c r="P26" s="117">
        <f>+VLOOKUP($N26,'Master Data'!$B:$W,IF(G26="Wholesale",21,22),FALSE)</f>
        <v>11.94</v>
      </c>
      <c r="Q26" s="164">
        <f t="shared" si="2"/>
        <v>11.94</v>
      </c>
      <c r="R26" s="115">
        <f>IF(G26="Wholesale",'Master Data'!$V$127*$M26,'Master Data'!$W$127*$M26)</f>
        <v>2.2000000000000002</v>
      </c>
      <c r="S26" s="115">
        <f>IF(G26="Wholesale",'Master Data'!$V$111*$M26,'Master Data'!$W$111*$M26)</f>
        <v>3.0769230769230771</v>
      </c>
      <c r="T26" s="115">
        <f>IF(F26=1000,'Master Data'!$AF$40,IF(F26=500,'Master Data'!$AF$39,IF(F26=250,'Master Data'!$AF$39,'Master Data'!$AF$38)))</f>
        <v>11.116666666666667</v>
      </c>
      <c r="U26" s="117">
        <f>IF(F26=1000,VLOOKUP($E26,'Master Data'!$B:$W,IF(G26="Wholesale",21,22),FALSE),IF(F26=500,VLOOKUP($E26,'Master Data'!$B:$W,IF(G26="Wholesale",21,22),FALSE)/2,IF(F26=250,VLOOKUP($E26,'Master Data'!$B:$W,IF(G26="Wholesale",21,22),FALSE)/3,IF(F26=100,VLOOKUP($E26,'Master Data'!$B:$W,IF(G26="Wholesale",21,22),FALSE)/4,IF(F26=50,VLOOKUP($E26,'Master Data'!$B:$W,IF(G26="Wholesale",21,22),FALSE)/6,IF(F26=25,VLOOKUP($E26,'Master Data'!$B:$W,IF(G26="Wholesale",21,22),FALSE)/8,VLOOKUP($E26,'Master Data'!$B:$W,IF(G26="Wholesale",21,22),FALSE)/8))))))</f>
        <v>0</v>
      </c>
      <c r="V26" s="117">
        <f>+VLOOKUP($I26,'Master Data'!$B:$V,IF(G26="Wholesale",20,21),FALSE)</f>
        <v>40</v>
      </c>
      <c r="W26" s="144">
        <f>IF(F26=1000,'Master Data'!$AB$32,IF(F26=500,'Master Data'!$AB$33,IF(F26=250,'Master Data'!$AB$34,IF(F26=100,'Master Data'!$AB$35,IF(F26=50,'Master Data'!$AB$36,IF(F26=25,'Master Data'!$AB$37,'Master Data'!$AB$38))))))</f>
        <v>56.550000000000004</v>
      </c>
      <c r="X26" s="115">
        <f t="shared" si="3"/>
        <v>29.821692307692309</v>
      </c>
      <c r="Y26" s="127">
        <f t="shared" si="4"/>
        <v>368.03861538461535</v>
      </c>
      <c r="Z26" s="128">
        <f t="shared" si="1"/>
        <v>368.03861538461535</v>
      </c>
      <c r="AA26" s="127">
        <f t="shared" si="5"/>
        <v>395.7052820512821</v>
      </c>
      <c r="AB26" s="286">
        <f t="shared" si="6"/>
        <v>30.933358974358978</v>
      </c>
      <c r="AC26" s="127">
        <f t="shared" si="7"/>
        <v>340.26694871794871</v>
      </c>
      <c r="AD26" s="287">
        <f t="shared" si="8"/>
        <v>510.40042307692306</v>
      </c>
    </row>
    <row r="27" spans="1:30" ht="30">
      <c r="A27" s="125">
        <f t="shared" si="9"/>
        <v>25</v>
      </c>
      <c r="B27" s="119" t="s">
        <v>185</v>
      </c>
      <c r="C27" s="121" t="s">
        <v>186</v>
      </c>
      <c r="D27" s="126" t="str">
        <f>+VLOOKUP($B27,'Master Data'!$B$20:$W$197,2,FALSE)</f>
        <v>MS Malagi</v>
      </c>
      <c r="E27" s="116" t="s">
        <v>295</v>
      </c>
      <c r="F27" s="126">
        <v>1000</v>
      </c>
      <c r="G27" s="126" t="s">
        <v>312</v>
      </c>
      <c r="H27" s="126" t="s">
        <v>320</v>
      </c>
      <c r="I27" s="125" t="s">
        <v>371</v>
      </c>
      <c r="J27" s="116">
        <v>10</v>
      </c>
      <c r="K27" s="117">
        <f>IF(D27="In House Production",INDEX('Master Data'!$H$552:$J$580,MATCH('Production Cost'!B27,'Master Data'!$H$552:$H$580,0),3),VLOOKUP($B27,'Master Data'!$B:$W,IF(G27="Wholesale",21,22),FALSE))</f>
        <v>0.60099999999999998</v>
      </c>
      <c r="L27" s="115">
        <v>1</v>
      </c>
      <c r="M27" s="115">
        <f>INDEX('Master Data'!$B$323:$K$376,MATCH('Production Cost'!$B27,'Master Data'!$B$323:$B$376,0),MATCH('Production Cost'!F$3,'Master Data'!$B$323:$K$323,0))</f>
        <v>1</v>
      </c>
      <c r="N27" s="116" t="str">
        <f>IF(H27="Maruthi Plastics",INDEX('Master Data'!$B$202:$L$255,MATCH('Production Cost'!B27,'Master Data'!$B$202:$B$255,0),MATCH('Production Cost'!F27,'Master Data'!$B$202:$L$202,0)),INDEX('Master Data'!$B$261:$L$314,MATCH('Production Cost'!B27,'Master Data'!$B$261:$B$314,0),MATCH('Production Cost'!F27,'Master Data'!$B$261:$L$261,0)))</f>
        <v>One side Transparent Flat Bottom with Zipper (1000Gm)</v>
      </c>
      <c r="O27" s="115">
        <f t="shared" si="0"/>
        <v>1000</v>
      </c>
      <c r="P27" s="117">
        <f>+VLOOKUP($N27,'Master Data'!$B:$W,IF(G27="Wholesale",21,22),FALSE)</f>
        <v>11.94</v>
      </c>
      <c r="Q27" s="164">
        <f t="shared" si="2"/>
        <v>11.94</v>
      </c>
      <c r="R27" s="115">
        <f>IF(G27="Wholesale",'Master Data'!$V$127*$M27,'Master Data'!$W$127*$M27)</f>
        <v>2.2000000000000002</v>
      </c>
      <c r="S27" s="115">
        <f>IF(G27="Wholesale",'Master Data'!$V$111*$M27,'Master Data'!$W$111*$M27)</f>
        <v>3.0769230769230771</v>
      </c>
      <c r="T27" s="115">
        <f>IF(F27=1000,'Master Data'!$AF$40,IF(F27=500,'Master Data'!$AF$39,IF(F27=250,'Master Data'!$AF$39,'Master Data'!$AF$38)))</f>
        <v>11.116666666666667</v>
      </c>
      <c r="U27" s="117">
        <f>IF(F27=1000,VLOOKUP($E27,'Master Data'!$B:$W,IF(G27="Wholesale",21,22),FALSE),IF(F27=500,VLOOKUP($E27,'Master Data'!$B:$W,IF(G27="Wholesale",21,22),FALSE)/2,IF(F27=250,VLOOKUP($E27,'Master Data'!$B:$W,IF(G27="Wholesale",21,22),FALSE)/3,IF(F27=100,VLOOKUP($E27,'Master Data'!$B:$W,IF(G27="Wholesale",21,22),FALSE)/4,IF(F27=50,VLOOKUP($E27,'Master Data'!$B:$W,IF(G27="Wholesale",21,22),FALSE)/6,IF(F27=25,VLOOKUP($E27,'Master Data'!$B:$W,IF(G27="Wholesale",21,22),FALSE)/8,VLOOKUP($E27,'Master Data'!$B:$W,IF(G27="Wholesale",21,22),FALSE)/8))))))</f>
        <v>0</v>
      </c>
      <c r="V27" s="117">
        <f>+VLOOKUP($I27,'Master Data'!$B:$V,IF(G27="Wholesale",20,21),FALSE)</f>
        <v>40</v>
      </c>
      <c r="W27" s="144">
        <f>IF(F27=1000,'Master Data'!$AB$32,IF(F27=500,'Master Data'!$AB$33,IF(F27=250,'Master Data'!$AB$34,IF(F27=100,'Master Data'!$AB$35,IF(F27=50,'Master Data'!$AB$36,IF(F27=25,'Master Data'!$AB$37,'Master Data'!$AB$38))))))</f>
        <v>56.550000000000004</v>
      </c>
      <c r="X27" s="115">
        <f t="shared" si="3"/>
        <v>61.821692307692324</v>
      </c>
      <c r="Y27" s="127">
        <f t="shared" si="4"/>
        <v>720.03861538461547</v>
      </c>
      <c r="Z27" s="128">
        <f t="shared" si="1"/>
        <v>720.03861538461547</v>
      </c>
      <c r="AA27" s="127">
        <f t="shared" si="5"/>
        <v>747.7052820512821</v>
      </c>
      <c r="AB27" s="286">
        <f t="shared" si="6"/>
        <v>62.933358974358988</v>
      </c>
      <c r="AC27" s="127">
        <f t="shared" si="7"/>
        <v>692.26694871794882</v>
      </c>
      <c r="AD27" s="287">
        <f t="shared" si="8"/>
        <v>1038.4004230769233</v>
      </c>
    </row>
    <row r="28" spans="1:30" ht="30">
      <c r="A28" s="125">
        <f t="shared" si="9"/>
        <v>26</v>
      </c>
      <c r="B28" s="119" t="s">
        <v>187</v>
      </c>
      <c r="C28" s="121" t="s">
        <v>188</v>
      </c>
      <c r="D28" s="126" t="str">
        <f>+VLOOKUP($B28,'Master Data'!$B$20:$W$197,2,FALSE)</f>
        <v>SMR</v>
      </c>
      <c r="E28" s="116" t="s">
        <v>295</v>
      </c>
      <c r="F28" s="126">
        <v>1000</v>
      </c>
      <c r="G28" s="126" t="s">
        <v>312</v>
      </c>
      <c r="H28" s="126" t="s">
        <v>320</v>
      </c>
      <c r="I28" s="125" t="s">
        <v>371</v>
      </c>
      <c r="J28" s="116">
        <v>10</v>
      </c>
      <c r="K28" s="117">
        <f>IF(D28="In House Production",INDEX('Master Data'!$H$552:$J$580,MATCH('Production Cost'!B28,'Master Data'!$H$552:$H$580,0),3),VLOOKUP($B28,'Master Data'!$B:$W,IF(G28="Wholesale",21,22),FALSE))</f>
        <v>0.217</v>
      </c>
      <c r="L28" s="115">
        <v>1</v>
      </c>
      <c r="M28" s="115">
        <f>INDEX('Master Data'!$B$323:$K$376,MATCH('Production Cost'!$B28,'Master Data'!$B$323:$B$376,0),MATCH('Production Cost'!F$3,'Master Data'!$B$323:$K$323,0))</f>
        <v>1</v>
      </c>
      <c r="N28" s="116" t="str">
        <f>IF(H28="Maruthi Plastics",INDEX('Master Data'!$B$202:$L$255,MATCH('Production Cost'!B28,'Master Data'!$B$202:$B$255,0),MATCH('Production Cost'!F28,'Master Data'!$B$202:$L$202,0)),INDEX('Master Data'!$B$261:$L$314,MATCH('Production Cost'!B28,'Master Data'!$B$261:$B$314,0),MATCH('Production Cost'!F28,'Master Data'!$B$261:$L$261,0)))</f>
        <v>One side Transparent Flat Bottom with Zipper (1000Gm)</v>
      </c>
      <c r="O28" s="115">
        <f t="shared" si="0"/>
        <v>1000</v>
      </c>
      <c r="P28" s="117">
        <f>+VLOOKUP($N28,'Master Data'!$B:$W,IF(G28="Wholesale",21,22),FALSE)</f>
        <v>11.94</v>
      </c>
      <c r="Q28" s="164">
        <f t="shared" si="2"/>
        <v>11.94</v>
      </c>
      <c r="R28" s="115">
        <f>IF(G28="Wholesale",'Master Data'!$V$127*$M28,'Master Data'!$W$127*$M28)</f>
        <v>2.2000000000000002</v>
      </c>
      <c r="S28" s="115">
        <f>IF(G28="Wholesale",'Master Data'!$V$111*$M28,'Master Data'!$W$111*$M28)</f>
        <v>3.0769230769230771</v>
      </c>
      <c r="T28" s="115">
        <f>IF(F28=1000,'Master Data'!$AF$40,IF(F28=500,'Master Data'!$AF$39,IF(F28=250,'Master Data'!$AF$39,'Master Data'!$AF$38)))</f>
        <v>11.116666666666667</v>
      </c>
      <c r="U28" s="117">
        <f>IF(F28=1000,VLOOKUP($E28,'Master Data'!$B:$W,IF(G28="Wholesale",21,22),FALSE),IF(F28=500,VLOOKUP($E28,'Master Data'!$B:$W,IF(G28="Wholesale",21,22),FALSE)/2,IF(F28=250,VLOOKUP($E28,'Master Data'!$B:$W,IF(G28="Wholesale",21,22),FALSE)/3,IF(F28=100,VLOOKUP($E28,'Master Data'!$B:$W,IF(G28="Wholesale",21,22),FALSE)/4,IF(F28=50,VLOOKUP($E28,'Master Data'!$B:$W,IF(G28="Wholesale",21,22),FALSE)/6,IF(F28=25,VLOOKUP($E28,'Master Data'!$B:$W,IF(G28="Wholesale",21,22),FALSE)/8,VLOOKUP($E28,'Master Data'!$B:$W,IF(G28="Wholesale",21,22),FALSE)/8))))))</f>
        <v>0</v>
      </c>
      <c r="V28" s="117">
        <f>+VLOOKUP($I28,'Master Data'!$B:$V,IF(G28="Wholesale",20,21),FALSE)</f>
        <v>40</v>
      </c>
      <c r="W28" s="144">
        <f>IF(F28=1000,'Master Data'!$AB$32,IF(F28=500,'Master Data'!$AB$33,IF(F28=250,'Master Data'!$AB$34,IF(F28=100,'Master Data'!$AB$35,IF(F28=50,'Master Data'!$AB$36,IF(F28=25,'Master Data'!$AB$37,'Master Data'!$AB$38))))))</f>
        <v>56.550000000000004</v>
      </c>
      <c r="X28" s="115">
        <f t="shared" si="3"/>
        <v>23.421692307692307</v>
      </c>
      <c r="Y28" s="127">
        <f t="shared" si="4"/>
        <v>297.63861538461538</v>
      </c>
      <c r="Z28" s="128">
        <f t="shared" si="1"/>
        <v>297.63861538461538</v>
      </c>
      <c r="AA28" s="127">
        <f t="shared" si="5"/>
        <v>325.30528205128201</v>
      </c>
      <c r="AB28" s="286">
        <f t="shared" si="6"/>
        <v>24.533358974358976</v>
      </c>
      <c r="AC28" s="127">
        <f t="shared" si="7"/>
        <v>269.86694871794873</v>
      </c>
      <c r="AD28" s="287">
        <f t="shared" si="8"/>
        <v>404.8004230769231</v>
      </c>
    </row>
    <row r="29" spans="1:30" ht="30">
      <c r="A29" s="125">
        <f t="shared" si="9"/>
        <v>27</v>
      </c>
      <c r="B29" s="119" t="s">
        <v>189</v>
      </c>
      <c r="C29" s="121" t="s">
        <v>190</v>
      </c>
      <c r="D29" s="126" t="str">
        <f>+VLOOKUP($B29,'Master Data'!$B$20:$W$197,2,FALSE)</f>
        <v>Na Risa</v>
      </c>
      <c r="E29" s="116" t="s">
        <v>295</v>
      </c>
      <c r="F29" s="126">
        <v>1000</v>
      </c>
      <c r="G29" s="126" t="s">
        <v>312</v>
      </c>
      <c r="H29" s="126" t="s">
        <v>320</v>
      </c>
      <c r="I29" s="125" t="s">
        <v>371</v>
      </c>
      <c r="J29" s="116">
        <v>10</v>
      </c>
      <c r="K29" s="117">
        <f>IF(D29="In House Production",INDEX('Master Data'!$H$552:$J$580,MATCH('Production Cost'!B29,'Master Data'!$H$552:$H$580,0),3),VLOOKUP($B29,'Master Data'!$B:$W,IF(G29="Wholesale",21,22),FALSE))</f>
        <v>0.44700000000000001</v>
      </c>
      <c r="L29" s="115">
        <v>1</v>
      </c>
      <c r="M29" s="115">
        <f>INDEX('Master Data'!$B$323:$K$376,MATCH('Production Cost'!$B29,'Master Data'!$B$323:$B$376,0),MATCH('Production Cost'!F$3,'Master Data'!$B$323:$K$323,0))</f>
        <v>1</v>
      </c>
      <c r="N29" s="116" t="str">
        <f>IF(H29="Maruthi Plastics",INDEX('Master Data'!$B$202:$L$255,MATCH('Production Cost'!B29,'Master Data'!$B$202:$B$255,0),MATCH('Production Cost'!F29,'Master Data'!$B$202:$L$202,0)),INDEX('Master Data'!$B$261:$L$314,MATCH('Production Cost'!B29,'Master Data'!$B$261:$B$314,0),MATCH('Production Cost'!F29,'Master Data'!$B$261:$L$261,0)))</f>
        <v>One side Transparent Flat Bottom with Zipper (1000Gm)</v>
      </c>
      <c r="O29" s="115">
        <f t="shared" si="0"/>
        <v>1000</v>
      </c>
      <c r="P29" s="117">
        <f>+VLOOKUP($N29,'Master Data'!$B:$W,IF(G29="Wholesale",21,22),FALSE)</f>
        <v>11.94</v>
      </c>
      <c r="Q29" s="164">
        <f t="shared" si="2"/>
        <v>11.94</v>
      </c>
      <c r="R29" s="115">
        <f>IF(G29="Wholesale",'Master Data'!$V$127*$M29,'Master Data'!$W$127*$M29)</f>
        <v>2.2000000000000002</v>
      </c>
      <c r="S29" s="115">
        <f>IF(G29="Wholesale",'Master Data'!$V$111*$M29,'Master Data'!$W$111*$M29)</f>
        <v>3.0769230769230771</v>
      </c>
      <c r="T29" s="115">
        <f>IF(F29=1000,'Master Data'!$AF$40,IF(F29=500,'Master Data'!$AF$39,IF(F29=250,'Master Data'!$AF$39,'Master Data'!$AF$38)))</f>
        <v>11.116666666666667</v>
      </c>
      <c r="U29" s="117">
        <f>IF(F29=1000,VLOOKUP($E29,'Master Data'!$B:$W,IF(G29="Wholesale",21,22),FALSE),IF(F29=500,VLOOKUP($E29,'Master Data'!$B:$W,IF(G29="Wholesale",21,22),FALSE)/2,IF(F29=250,VLOOKUP($E29,'Master Data'!$B:$W,IF(G29="Wholesale",21,22),FALSE)/3,IF(F29=100,VLOOKUP($E29,'Master Data'!$B:$W,IF(G29="Wholesale",21,22),FALSE)/4,IF(F29=50,VLOOKUP($E29,'Master Data'!$B:$W,IF(G29="Wholesale",21,22),FALSE)/6,IF(F29=25,VLOOKUP($E29,'Master Data'!$B:$W,IF(G29="Wholesale",21,22),FALSE)/8,VLOOKUP($E29,'Master Data'!$B:$W,IF(G29="Wholesale",21,22),FALSE)/8))))))</f>
        <v>0</v>
      </c>
      <c r="V29" s="117">
        <f>+VLOOKUP($I29,'Master Data'!$B:$V,IF(G29="Wholesale",20,21),FALSE)</f>
        <v>40</v>
      </c>
      <c r="W29" s="144">
        <f>IF(F29=1000,'Master Data'!$AB$32,IF(F29=500,'Master Data'!$AB$33,IF(F29=250,'Master Data'!$AB$34,IF(F29=100,'Master Data'!$AB$35,IF(F29=50,'Master Data'!$AB$36,IF(F29=25,'Master Data'!$AB$37,'Master Data'!$AB$38))))))</f>
        <v>56.550000000000004</v>
      </c>
      <c r="X29" s="115">
        <f t="shared" si="3"/>
        <v>46.421692307692311</v>
      </c>
      <c r="Y29" s="127">
        <f t="shared" si="4"/>
        <v>550.63861538461538</v>
      </c>
      <c r="Z29" s="128">
        <f t="shared" si="1"/>
        <v>550.63861538461538</v>
      </c>
      <c r="AA29" s="127">
        <f t="shared" si="5"/>
        <v>578.30528205128201</v>
      </c>
      <c r="AB29" s="286">
        <f t="shared" si="6"/>
        <v>47.533358974358976</v>
      </c>
      <c r="AC29" s="127">
        <f t="shared" si="7"/>
        <v>522.86694871794873</v>
      </c>
      <c r="AD29" s="287">
        <f t="shared" si="8"/>
        <v>784.30042307692315</v>
      </c>
    </row>
    <row r="30" spans="1:30" ht="30">
      <c r="A30" s="125">
        <f t="shared" si="9"/>
        <v>28</v>
      </c>
      <c r="B30" s="121" t="s">
        <v>19</v>
      </c>
      <c r="C30" s="121" t="s">
        <v>191</v>
      </c>
      <c r="D30" s="126" t="str">
        <f>+VLOOKUP($B30,'Master Data'!$B$20:$W$197,2,FALSE)</f>
        <v>Chandan Enterprise</v>
      </c>
      <c r="E30" s="116" t="s">
        <v>295</v>
      </c>
      <c r="F30" s="126">
        <v>1000</v>
      </c>
      <c r="G30" s="126" t="s">
        <v>312</v>
      </c>
      <c r="H30" s="126" t="s">
        <v>320</v>
      </c>
      <c r="I30" s="125" t="s">
        <v>371</v>
      </c>
      <c r="J30" s="116">
        <v>10</v>
      </c>
      <c r="K30" s="117">
        <f>IF(D30="In House Production",INDEX('Master Data'!$H$552:$J$580,MATCH('Production Cost'!B30,'Master Data'!$H$552:$H$580,0),3),VLOOKUP($B30,'Master Data'!$B:$W,IF(G30="Wholesale",21,22),FALSE))</f>
        <v>0.53800000000000003</v>
      </c>
      <c r="L30" s="115">
        <v>1</v>
      </c>
      <c r="M30" s="115">
        <f>INDEX('Master Data'!$B$323:$K$376,MATCH('Production Cost'!$B30,'Master Data'!$B$323:$B$376,0),MATCH('Production Cost'!F$3,'Master Data'!$B$323:$K$323,0))</f>
        <v>1</v>
      </c>
      <c r="N30" s="116" t="str">
        <f>IF(H30="Maruthi Plastics",INDEX('Master Data'!$B$202:$L$255,MATCH('Production Cost'!B30,'Master Data'!$B$202:$B$255,0),MATCH('Production Cost'!F30,'Master Data'!$B$202:$L$202,0)),INDEX('Master Data'!$B$261:$L$314,MATCH('Production Cost'!B30,'Master Data'!$B$261:$B$314,0),MATCH('Production Cost'!F30,'Master Data'!$B$261:$L$261,0)))</f>
        <v>Flat Bottom Pouches With Normal Zipper 1 kg</v>
      </c>
      <c r="O30" s="115">
        <f t="shared" si="0"/>
        <v>1000</v>
      </c>
      <c r="P30" s="117">
        <f>+VLOOKUP($N30,'Master Data'!$B:$W,IF(G30="Wholesale",21,22),FALSE)</f>
        <v>16.13</v>
      </c>
      <c r="Q30" s="164">
        <f t="shared" si="2"/>
        <v>16.13</v>
      </c>
      <c r="R30" s="115">
        <f>IF(G30="Wholesale",'Master Data'!$V$127*$M30,'Master Data'!$W$127*$M30)</f>
        <v>2.2000000000000002</v>
      </c>
      <c r="S30" s="115">
        <f>IF(G30="Wholesale",'Master Data'!$V$111*$M30,'Master Data'!$W$111*$M30)</f>
        <v>3.0769230769230771</v>
      </c>
      <c r="T30" s="115">
        <f>IF(F30=1000,'Master Data'!$AF$40,IF(F30=500,'Master Data'!$AF$39,IF(F30=250,'Master Data'!$AF$39,'Master Data'!$AF$38)))</f>
        <v>11.116666666666667</v>
      </c>
      <c r="U30" s="117">
        <f>IF(F30=1000,VLOOKUP($E30,'Master Data'!$B:$W,IF(G30="Wholesale",21,22),FALSE),IF(F30=500,VLOOKUP($E30,'Master Data'!$B:$W,IF(G30="Wholesale",21,22),FALSE)/2,IF(F30=250,VLOOKUP($E30,'Master Data'!$B:$W,IF(G30="Wholesale",21,22),FALSE)/3,IF(F30=100,VLOOKUP($E30,'Master Data'!$B:$W,IF(G30="Wholesale",21,22),FALSE)/4,IF(F30=50,VLOOKUP($E30,'Master Data'!$B:$W,IF(G30="Wholesale",21,22),FALSE)/6,IF(F30=25,VLOOKUP($E30,'Master Data'!$B:$W,IF(G30="Wholesale",21,22),FALSE)/8,VLOOKUP($E30,'Master Data'!$B:$W,IF(G30="Wholesale",21,22),FALSE)/8))))))</f>
        <v>0</v>
      </c>
      <c r="V30" s="117">
        <f>+VLOOKUP($I30,'Master Data'!$B:$V,IF(G30="Wholesale",20,21),FALSE)</f>
        <v>40</v>
      </c>
      <c r="W30" s="144">
        <f>IF(F30=1000,'Master Data'!$AB$32,IF(F30=500,'Master Data'!$AB$33,IF(F30=250,'Master Data'!$AB$34,IF(F30=100,'Master Data'!$AB$35,IF(F30=50,'Master Data'!$AB$36,IF(F30=25,'Master Data'!$AB$37,'Master Data'!$AB$38))))))</f>
        <v>56.550000000000004</v>
      </c>
      <c r="X30" s="115">
        <f t="shared" si="3"/>
        <v>55.940692307692316</v>
      </c>
      <c r="Y30" s="127">
        <f t="shared" si="4"/>
        <v>655.34761538461544</v>
      </c>
      <c r="Z30" s="128">
        <f t="shared" si="1"/>
        <v>655.34761538461544</v>
      </c>
      <c r="AA30" s="127">
        <f t="shared" si="5"/>
        <v>683.01428205128207</v>
      </c>
      <c r="AB30" s="286">
        <f t="shared" si="6"/>
        <v>57.052358974358981</v>
      </c>
      <c r="AC30" s="127">
        <f t="shared" si="7"/>
        <v>627.57594871794879</v>
      </c>
      <c r="AD30" s="287">
        <f t="shared" si="8"/>
        <v>941.36392307692313</v>
      </c>
    </row>
    <row r="31" spans="1:30" ht="30">
      <c r="A31" s="125">
        <f t="shared" si="9"/>
        <v>29</v>
      </c>
      <c r="B31" s="121" t="s">
        <v>75</v>
      </c>
      <c r="C31" s="121" t="s">
        <v>192</v>
      </c>
      <c r="D31" s="126" t="s">
        <v>292</v>
      </c>
      <c r="E31" s="116" t="s">
        <v>295</v>
      </c>
      <c r="F31" s="126">
        <v>1000</v>
      </c>
      <c r="G31" s="126" t="s">
        <v>312</v>
      </c>
      <c r="H31" s="126" t="s">
        <v>320</v>
      </c>
      <c r="I31" s="125" t="s">
        <v>371</v>
      </c>
      <c r="J31" s="116">
        <v>10</v>
      </c>
      <c r="K31" s="117">
        <f>IF(D31="In House Production",INDEX('Master Data'!$H$552:$J$580,MATCH('Production Cost'!B31,'Master Data'!$H$552:$H$580,0),3),VLOOKUP($B31,'Master Data'!$B:$W,IF(G31="Wholesale",21,22),FALSE))</f>
        <v>0.27010133333333336</v>
      </c>
      <c r="L31" s="115">
        <v>1</v>
      </c>
      <c r="M31" s="115">
        <f>INDEX('Master Data'!$B$323:$K$376,MATCH('Production Cost'!$B31,'Master Data'!$B$323:$B$376,0),MATCH('Production Cost'!F$3,'Master Data'!$B$323:$K$323,0))</f>
        <v>1</v>
      </c>
      <c r="N31" s="116" t="str">
        <f>IF(H31="Maruthi Plastics",INDEX('Master Data'!$B$202:$L$255,MATCH('Production Cost'!B31,'Master Data'!$B$202:$B$255,0),MATCH('Production Cost'!F31,'Master Data'!$B$202:$L$202,0)),INDEX('Master Data'!$B$261:$L$314,MATCH('Production Cost'!B31,'Master Data'!$B$261:$B$314,0),MATCH('Production Cost'!F31,'Master Data'!$B$261:$L$261,0)))</f>
        <v>One side Transparent Flat Bottom with Zipper (1000Gm)</v>
      </c>
      <c r="O31" s="115">
        <f t="shared" si="0"/>
        <v>1000</v>
      </c>
      <c r="P31" s="117">
        <f>+VLOOKUP($N31,'Master Data'!$B:$W,IF(G31="Wholesale",21,22),FALSE)</f>
        <v>11.94</v>
      </c>
      <c r="Q31" s="164">
        <f t="shared" si="2"/>
        <v>11.94</v>
      </c>
      <c r="R31" s="115">
        <f>IF(G31="Wholesale",'Master Data'!$V$127*$M31,'Master Data'!$W$127*$M31)</f>
        <v>2.2000000000000002</v>
      </c>
      <c r="S31" s="115">
        <f>IF(G31="Wholesale",'Master Data'!$V$111*$M31,'Master Data'!$W$111*$M31)</f>
        <v>3.0769230769230771</v>
      </c>
      <c r="T31" s="115">
        <f>IF(F31=1000,'Master Data'!$AF$40,IF(F31=500,'Master Data'!$AF$39,IF(F31=250,'Master Data'!$AF$39,'Master Data'!$AF$38)))</f>
        <v>11.116666666666667</v>
      </c>
      <c r="U31" s="117">
        <f>IF(F31=1000,VLOOKUP($E31,'Master Data'!$B:$W,IF(G31="Wholesale",21,22),FALSE),IF(F31=500,VLOOKUP($E31,'Master Data'!$B:$W,IF(G31="Wholesale",21,22),FALSE)/2,IF(F31=250,VLOOKUP($E31,'Master Data'!$B:$W,IF(G31="Wholesale",21,22),FALSE)/3,IF(F31=100,VLOOKUP($E31,'Master Data'!$B:$W,IF(G31="Wholesale",21,22),FALSE)/4,IF(F31=50,VLOOKUP($E31,'Master Data'!$B:$W,IF(G31="Wholesale",21,22),FALSE)/6,IF(F31=25,VLOOKUP($E31,'Master Data'!$B:$W,IF(G31="Wholesale",21,22),FALSE)/8,VLOOKUP($E31,'Master Data'!$B:$W,IF(G31="Wholesale",21,22),FALSE)/8))))))</f>
        <v>0</v>
      </c>
      <c r="V31" s="117">
        <f>+VLOOKUP($I31,'Master Data'!$B:$V,IF(G31="Wholesale",20,21),FALSE)</f>
        <v>40</v>
      </c>
      <c r="W31" s="144">
        <f>IF(F31=1000,'Master Data'!$AB$32,IF(F31=500,'Master Data'!$AB$33,IF(F31=250,'Master Data'!$AB$34,IF(F31=100,'Master Data'!$AB$35,IF(F31=50,'Master Data'!$AB$36,IF(F31=25,'Master Data'!$AB$37,'Master Data'!$AB$38))))))</f>
        <v>56.550000000000004</v>
      </c>
      <c r="X31" s="115">
        <f t="shared" si="3"/>
        <v>28.731825641025644</v>
      </c>
      <c r="Y31" s="127">
        <f t="shared" si="4"/>
        <v>356.05008205128206</v>
      </c>
      <c r="Z31" s="128">
        <f t="shared" si="1"/>
        <v>356.05008205128206</v>
      </c>
      <c r="AA31" s="127">
        <f t="shared" si="5"/>
        <v>383.71674871794875</v>
      </c>
      <c r="AB31" s="286">
        <f t="shared" si="6"/>
        <v>29.843492307692312</v>
      </c>
      <c r="AC31" s="127">
        <f t="shared" si="7"/>
        <v>328.27841538461541</v>
      </c>
      <c r="AD31" s="287">
        <f t="shared" si="8"/>
        <v>492.41762307692312</v>
      </c>
    </row>
    <row r="32" spans="1:30" ht="30">
      <c r="A32" s="125">
        <f t="shared" si="9"/>
        <v>30</v>
      </c>
      <c r="B32" s="121" t="s">
        <v>76</v>
      </c>
      <c r="C32" s="121" t="s">
        <v>193</v>
      </c>
      <c r="D32" s="126" t="s">
        <v>292</v>
      </c>
      <c r="E32" s="116" t="s">
        <v>295</v>
      </c>
      <c r="F32" s="126">
        <v>1000</v>
      </c>
      <c r="G32" s="126" t="s">
        <v>312</v>
      </c>
      <c r="H32" s="126" t="s">
        <v>320</v>
      </c>
      <c r="I32" s="125" t="s">
        <v>371</v>
      </c>
      <c r="J32" s="116">
        <v>10</v>
      </c>
      <c r="K32" s="117">
        <f>IF(D32="In House Production",INDEX('Master Data'!$H$552:$J$580,MATCH('Production Cost'!B32,'Master Data'!$H$552:$H$580,0),3),VLOOKUP($B32,'Master Data'!$B:$W,IF(G32="Wholesale",21,22),FALSE))</f>
        <v>0.42411285714285712</v>
      </c>
      <c r="L32" s="115">
        <v>1</v>
      </c>
      <c r="M32" s="115">
        <f>INDEX('Master Data'!$B$323:$K$376,MATCH('Production Cost'!$B32,'Master Data'!$B$323:$B$376,0),MATCH('Production Cost'!F$3,'Master Data'!$B$323:$K$323,0))</f>
        <v>1</v>
      </c>
      <c r="N32" s="116" t="str">
        <f>IF(H32="Maruthi Plastics",INDEX('Master Data'!$B$202:$L$255,MATCH('Production Cost'!B32,'Master Data'!$B$202:$B$255,0),MATCH('Production Cost'!F32,'Master Data'!$B$202:$L$202,0)),INDEX('Master Data'!$B$261:$L$314,MATCH('Production Cost'!B32,'Master Data'!$B$261:$B$314,0),MATCH('Production Cost'!F32,'Master Data'!$B$261:$L$261,0)))</f>
        <v>One side Transparent Flat Bottom with Zipper (1000Gm)</v>
      </c>
      <c r="O32" s="115">
        <f t="shared" si="0"/>
        <v>1000</v>
      </c>
      <c r="P32" s="117">
        <f>+VLOOKUP($N32,'Master Data'!$B:$W,IF(G32="Wholesale",21,22),FALSE)</f>
        <v>11.94</v>
      </c>
      <c r="Q32" s="164">
        <f t="shared" si="2"/>
        <v>11.94</v>
      </c>
      <c r="R32" s="115">
        <f>IF(G32="Wholesale",'Master Data'!$V$127*$M32,'Master Data'!$W$127*$M32)</f>
        <v>2.2000000000000002</v>
      </c>
      <c r="S32" s="115">
        <f>IF(G32="Wholesale",'Master Data'!$V$111*$M32,'Master Data'!$W$111*$M32)</f>
        <v>3.0769230769230771</v>
      </c>
      <c r="T32" s="115">
        <f>IF(F32=1000,'Master Data'!$AF$40,IF(F32=500,'Master Data'!$AF$39,IF(F32=250,'Master Data'!$AF$39,'Master Data'!$AF$38)))</f>
        <v>11.116666666666667</v>
      </c>
      <c r="U32" s="117">
        <f>IF(F32=1000,VLOOKUP($E32,'Master Data'!$B:$W,IF(G32="Wholesale",21,22),FALSE),IF(F32=500,VLOOKUP($E32,'Master Data'!$B:$W,IF(G32="Wholesale",21,22),FALSE)/2,IF(F32=250,VLOOKUP($E32,'Master Data'!$B:$W,IF(G32="Wholesale",21,22),FALSE)/3,IF(F32=100,VLOOKUP($E32,'Master Data'!$B:$W,IF(G32="Wholesale",21,22),FALSE)/4,IF(F32=50,VLOOKUP($E32,'Master Data'!$B:$W,IF(G32="Wholesale",21,22),FALSE)/6,IF(F32=25,VLOOKUP($E32,'Master Data'!$B:$W,IF(G32="Wholesale",21,22),FALSE)/8,VLOOKUP($E32,'Master Data'!$B:$W,IF(G32="Wholesale",21,22),FALSE)/8))))))</f>
        <v>0</v>
      </c>
      <c r="V32" s="117">
        <f>+VLOOKUP($I32,'Master Data'!$B:$V,IF(G32="Wholesale",20,21),FALSE)</f>
        <v>40</v>
      </c>
      <c r="W32" s="144">
        <f>IF(F32=1000,'Master Data'!$AB$32,IF(F32=500,'Master Data'!$AB$33,IF(F32=250,'Master Data'!$AB$34,IF(F32=100,'Master Data'!$AB$35,IF(F32=50,'Master Data'!$AB$36,IF(F32=25,'Master Data'!$AB$37,'Master Data'!$AB$38))))))</f>
        <v>56.550000000000004</v>
      </c>
      <c r="X32" s="115">
        <f t="shared" si="3"/>
        <v>44.132978021978026</v>
      </c>
      <c r="Y32" s="127">
        <f t="shared" si="4"/>
        <v>525.46275824175825</v>
      </c>
      <c r="Z32" s="128">
        <f t="shared" si="1"/>
        <v>525.46275824175825</v>
      </c>
      <c r="AA32" s="127">
        <f t="shared" si="5"/>
        <v>553.12942490842488</v>
      </c>
      <c r="AB32" s="286">
        <f t="shared" si="6"/>
        <v>45.244644688644691</v>
      </c>
      <c r="AC32" s="127">
        <f t="shared" si="7"/>
        <v>497.6910915750916</v>
      </c>
      <c r="AD32" s="287">
        <f t="shared" si="8"/>
        <v>746.53663736263741</v>
      </c>
    </row>
    <row r="33" spans="1:30" ht="30">
      <c r="A33" s="125">
        <f t="shared" si="9"/>
        <v>31</v>
      </c>
      <c r="B33" s="121" t="s">
        <v>452</v>
      </c>
      <c r="C33" s="121" t="s">
        <v>194</v>
      </c>
      <c r="D33" s="126" t="s">
        <v>292</v>
      </c>
      <c r="E33" s="116" t="s">
        <v>295</v>
      </c>
      <c r="F33" s="126">
        <v>1000</v>
      </c>
      <c r="G33" s="126" t="s">
        <v>312</v>
      </c>
      <c r="H33" s="126" t="s">
        <v>320</v>
      </c>
      <c r="I33" s="125" t="s">
        <v>371</v>
      </c>
      <c r="J33" s="116">
        <v>10</v>
      </c>
      <c r="K33" s="117">
        <f>IF(D33="In House Production",INDEX('Master Data'!$H$552:$J$580,MATCH('Production Cost'!B33,'Master Data'!$H$552:$H$580,0),3),VLOOKUP($B33,'Master Data'!$B:$W,IF(G33="Wholesale",21,22),FALSE))</f>
        <v>0.92878987861811402</v>
      </c>
      <c r="L33" s="115">
        <v>1</v>
      </c>
      <c r="M33" s="115">
        <f>INDEX('Master Data'!$B$323:$K$376,MATCH('Production Cost'!$B33,'Master Data'!$B$323:$B$376,0),MATCH('Production Cost'!F$3,'Master Data'!$B$323:$K$323,0))</f>
        <v>1</v>
      </c>
      <c r="N33" s="116" t="str">
        <f>IF(H33="Maruthi Plastics",INDEX('Master Data'!$B$202:$L$255,MATCH('Production Cost'!B33,'Master Data'!$B$202:$B$255,0),MATCH('Production Cost'!F33,'Master Data'!$B$202:$L$202,0)),INDEX('Master Data'!$B$261:$L$314,MATCH('Production Cost'!B33,'Master Data'!$B$261:$B$314,0),MATCH('Production Cost'!F33,'Master Data'!$B$261:$L$261,0)))</f>
        <v>One side Transparent Flat Bottom with Zipper (1000Gm)</v>
      </c>
      <c r="O33" s="115">
        <f t="shared" si="0"/>
        <v>1000</v>
      </c>
      <c r="P33" s="117">
        <f>+VLOOKUP($N33,'Master Data'!$B:$W,IF(G33="Wholesale",21,22),FALSE)</f>
        <v>11.94</v>
      </c>
      <c r="Q33" s="164">
        <f t="shared" si="2"/>
        <v>11.94</v>
      </c>
      <c r="R33" s="115">
        <f>IF(G33="Wholesale",'Master Data'!$V$127*$M33,'Master Data'!$W$127*$M33)</f>
        <v>2.2000000000000002</v>
      </c>
      <c r="S33" s="115">
        <f>IF(G33="Wholesale",'Master Data'!$V$111*$M33,'Master Data'!$W$111*$M33)</f>
        <v>3.0769230769230771</v>
      </c>
      <c r="T33" s="115">
        <f>IF(F33=1000,'Master Data'!$AF$40,IF(F33=500,'Master Data'!$AF$39,IF(F33=250,'Master Data'!$AF$39,'Master Data'!$AF$38)))</f>
        <v>11.116666666666667</v>
      </c>
      <c r="U33" s="117">
        <f>IF(F33=1000,VLOOKUP($E33,'Master Data'!$B:$W,IF(G33="Wholesale",21,22),FALSE),IF(F33=500,VLOOKUP($E33,'Master Data'!$B:$W,IF(G33="Wholesale",21,22),FALSE)/2,IF(F33=250,VLOOKUP($E33,'Master Data'!$B:$W,IF(G33="Wholesale",21,22),FALSE)/3,IF(F33=100,VLOOKUP($E33,'Master Data'!$B:$W,IF(G33="Wholesale",21,22),FALSE)/4,IF(F33=50,VLOOKUP($E33,'Master Data'!$B:$W,IF(G33="Wholesale",21,22),FALSE)/6,IF(F33=25,VLOOKUP($E33,'Master Data'!$B:$W,IF(G33="Wholesale",21,22),FALSE)/8,VLOOKUP($E33,'Master Data'!$B:$W,IF(G33="Wholesale",21,22),FALSE)/8))))))</f>
        <v>0</v>
      </c>
      <c r="V33" s="117">
        <f>+VLOOKUP($I33,'Master Data'!$B:$V,IF(G33="Wholesale",20,21),FALSE)</f>
        <v>40</v>
      </c>
      <c r="W33" s="144">
        <f>IF(F33=1000,'Master Data'!$AB$32,IF(F33=500,'Master Data'!$AB$33,IF(F33=250,'Master Data'!$AB$34,IF(F33=100,'Master Data'!$AB$35,IF(F33=50,'Master Data'!$AB$36,IF(F33=25,'Master Data'!$AB$37,'Master Data'!$AB$38))))))</f>
        <v>56.550000000000004</v>
      </c>
      <c r="X33" s="115">
        <f t="shared" si="3"/>
        <v>94.600680169503732</v>
      </c>
      <c r="Y33" s="127">
        <f t="shared" si="4"/>
        <v>1080.6074818645409</v>
      </c>
      <c r="Z33" s="128">
        <f t="shared" si="1"/>
        <v>1080.6074818645409</v>
      </c>
      <c r="AA33" s="127">
        <f t="shared" si="5"/>
        <v>1108.2741485312076</v>
      </c>
      <c r="AB33" s="286">
        <f t="shared" si="6"/>
        <v>95.712346836170397</v>
      </c>
      <c r="AC33" s="127">
        <f t="shared" si="7"/>
        <v>1052.8358151978744</v>
      </c>
      <c r="AD33" s="287">
        <f t="shared" si="8"/>
        <v>1579.2537227968114</v>
      </c>
    </row>
    <row r="34" spans="1:30" ht="30">
      <c r="A34" s="125">
        <f t="shared" si="9"/>
        <v>32</v>
      </c>
      <c r="B34" s="121" t="s">
        <v>69</v>
      </c>
      <c r="C34" s="121"/>
      <c r="D34" s="126" t="s">
        <v>292</v>
      </c>
      <c r="E34" s="116" t="s">
        <v>267</v>
      </c>
      <c r="F34" s="126">
        <v>1000</v>
      </c>
      <c r="G34" s="126" t="s">
        <v>312</v>
      </c>
      <c r="H34" s="126" t="s">
        <v>320</v>
      </c>
      <c r="I34" s="125" t="s">
        <v>371</v>
      </c>
      <c r="J34" s="116">
        <v>10</v>
      </c>
      <c r="K34" s="117">
        <f>IF(D34="In House Production",INDEX('Master Data'!$H$552:$J$580,MATCH('Production Cost'!B34,'Master Data'!$H$552:$H$580,0),3),VLOOKUP($B34,'Master Data'!$B:$W,IF(G34="Wholesale",21,22),FALSE))</f>
        <v>1.9052031346797171</v>
      </c>
      <c r="L34" s="115">
        <v>2</v>
      </c>
      <c r="M34" s="115">
        <f>INDEX('Master Data'!$B$323:$K$376,MATCH('Production Cost'!$B34,'Master Data'!$B$323:$B$376,0),MATCH('Production Cost'!F$3,'Master Data'!$B$323:$K$323,0))</f>
        <v>1</v>
      </c>
      <c r="N34" s="116" t="str">
        <f>IF(H34="Maruthi Plastics",INDEX('Master Data'!$B$202:$L$255,MATCH('Production Cost'!B34,'Master Data'!$B$202:$B$255,0),MATCH('Production Cost'!F34,'Master Data'!$B$202:$L$202,0)),INDEX('Master Data'!$B$261:$L$314,MATCH('Production Cost'!B34,'Master Data'!$B$261:$B$314,0),MATCH('Production Cost'!F34,'Master Data'!$B$261:$L$261,0)))</f>
        <v>One side Transparent Flat Bottom with Zipper (1000Gm)</v>
      </c>
      <c r="O34" s="115">
        <f t="shared" ref="O34:O35" si="24">1000/L34</f>
        <v>500</v>
      </c>
      <c r="P34" s="117">
        <f>+VLOOKUP($N34,'Master Data'!$B:$W,IF(G34="Wholesale",21,22),FALSE)</f>
        <v>11.94</v>
      </c>
      <c r="Q34" s="164">
        <f t="shared" ref="Q34:Q35" si="25">+P34*M34</f>
        <v>11.94</v>
      </c>
      <c r="R34" s="115">
        <f>IF(G34="Wholesale",'Master Data'!$V$127*$M34,'Master Data'!$W$127*$M34)</f>
        <v>2.2000000000000002</v>
      </c>
      <c r="S34" s="115">
        <f>IF(G34="Wholesale",'Master Data'!$V$111*$M34,'Master Data'!$W$111*$M34)</f>
        <v>3.0769230769230771</v>
      </c>
      <c r="T34" s="115">
        <f>IF(F34=1000,'Master Data'!$AF$40,IF(F34=500,'Master Data'!$AF$39,IF(F34=250,'Master Data'!$AF$39,'Master Data'!$AF$38)))</f>
        <v>11.116666666666667</v>
      </c>
      <c r="U34" s="117">
        <f>IF(F34=1000,VLOOKUP($E34,'Master Data'!$B:$W,IF(G34="Wholesale",21,22),FALSE),IF(F34=500,VLOOKUP($E34,'Master Data'!$B:$W,IF(G34="Wholesale",21,22),FALSE)/2,IF(F34=250,VLOOKUP($E34,'Master Data'!$B:$W,IF(G34="Wholesale",21,22),FALSE)/3,IF(F34=100,VLOOKUP($E34,'Master Data'!$B:$W,IF(G34="Wholesale",21,22),FALSE)/4,IF(F34=50,VLOOKUP($E34,'Master Data'!$B:$W,IF(G34="Wholesale",21,22),FALSE)/6,IF(F34=25,VLOOKUP($E34,'Master Data'!$B:$W,IF(G34="Wholesale",21,22),FALSE)/8,VLOOKUP($E34,'Master Data'!$B:$W,IF(G34="Wholesale",21,22),FALSE)/8))))))</f>
        <v>55.02</v>
      </c>
      <c r="V34" s="117">
        <f>+VLOOKUP($I34,'Master Data'!$B:$V,IF(G34="Wholesale",20,21),FALSE)</f>
        <v>40</v>
      </c>
      <c r="W34" s="144">
        <f>IF(F34=1000,'Master Data'!$AB$32,IF(F34=500,'Master Data'!$AB$33,IF(F34=250,'Master Data'!$AB$34,IF(F34=100,'Master Data'!$AB$35,IF(F34=50,'Master Data'!$AB$36,IF(F34=25,'Master Data'!$AB$37,'Master Data'!$AB$38))))))</f>
        <v>56.550000000000004</v>
      </c>
      <c r="X34" s="115">
        <f t="shared" ref="X34:X35" si="26">+((K34*F34)+$Q34+$R34+$U34+S34)*($J34/100)</f>
        <v>197.74400577566405</v>
      </c>
      <c r="Y34" s="127">
        <f t="shared" ref="Y34:Y35" si="27">+(F34*K34)+Q34+R34+S34+U34+(IF(F34=1000,V34,IF(F34=500,V34/2,IF(F34=250,V34/4,IF(F34=100,V34/10,IF(F34=50,V34/20,V34/40)))))+X34)</f>
        <v>2215.1840635323042</v>
      </c>
      <c r="Z34" s="128">
        <f t="shared" ref="Z34:Z35" si="28">+Y34/L34</f>
        <v>1107.5920317661521</v>
      </c>
      <c r="AA34" s="127">
        <f t="shared" ref="AA34:AA35" si="29">(F34*K34)+Q34+R34+S34+T34+U34+W34+X34</f>
        <v>2242.8507301989707</v>
      </c>
      <c r="AB34" s="286">
        <f t="shared" ref="AB34:AB35" si="30">+((K34*F34)+$Q34+$R34+$U34+$S34+$T34)*($J34/100)</f>
        <v>198.8556724423307</v>
      </c>
      <c r="AC34" s="127">
        <f t="shared" ref="AC34:AC35" si="31">(F34*K34)+Q34+R34+S34+T34+U34+AB34</f>
        <v>2187.4123968656377</v>
      </c>
      <c r="AD34" s="287">
        <f t="shared" ref="AD34:AD35" si="32">AC34*1.5</f>
        <v>3281.1185952984565</v>
      </c>
    </row>
    <row r="35" spans="1:30" ht="30">
      <c r="A35" s="125">
        <f t="shared" si="9"/>
        <v>33</v>
      </c>
      <c r="B35" s="121" t="s">
        <v>554</v>
      </c>
      <c r="C35" s="121"/>
      <c r="D35" s="126" t="s">
        <v>292</v>
      </c>
      <c r="E35" s="116" t="s">
        <v>295</v>
      </c>
      <c r="F35" s="126">
        <v>1000</v>
      </c>
      <c r="G35" s="126" t="s">
        <v>312</v>
      </c>
      <c r="H35" s="126" t="s">
        <v>320</v>
      </c>
      <c r="I35" s="125" t="s">
        <v>371</v>
      </c>
      <c r="J35" s="116">
        <v>10</v>
      </c>
      <c r="K35" s="117">
        <f>IF(D35="In House Production",INDEX('Master Data'!$H$552:$J$580,MATCH('Production Cost'!B35,'Master Data'!$H$552:$H$580,0),3),VLOOKUP($B35,'Master Data'!$B:$W,IF(G35="Wholesale",21,22),FALSE))</f>
        <v>0.45646740740740743</v>
      </c>
      <c r="L35" s="115">
        <v>3</v>
      </c>
      <c r="M35" s="115">
        <f>INDEX('Master Data'!$B$323:$K$376,MATCH('Production Cost'!$B35,'Master Data'!$B$323:$B$376,0),MATCH('Production Cost'!F$3,'Master Data'!$B$323:$K$323,0))</f>
        <v>1</v>
      </c>
      <c r="N35" s="116" t="str">
        <f>IF(H35="Maruthi Plastics",INDEX('Master Data'!$B$202:$L$255,MATCH('Production Cost'!B35,'Master Data'!$B$202:$B$255,0),MATCH('Production Cost'!F35,'Master Data'!$B$202:$L$202,0)),INDEX('Master Data'!$B$261:$L$314,MATCH('Production Cost'!B35,'Master Data'!$B$261:$B$314,0),MATCH('Production Cost'!F35,'Master Data'!$B$261:$L$261,0)))</f>
        <v>One side Transparent Flat Bottom with Zipper (1000Gm)</v>
      </c>
      <c r="O35" s="115">
        <f t="shared" si="24"/>
        <v>333.33333333333331</v>
      </c>
      <c r="P35" s="117">
        <f>+VLOOKUP($N35,'Master Data'!$B:$W,IF(G35="Wholesale",21,22),FALSE)</f>
        <v>11.94</v>
      </c>
      <c r="Q35" s="164">
        <f t="shared" si="25"/>
        <v>11.94</v>
      </c>
      <c r="R35" s="115">
        <f>IF(G35="Wholesale",'Master Data'!$V$127*$M35,'Master Data'!$W$127*$M35)</f>
        <v>2.2000000000000002</v>
      </c>
      <c r="S35" s="115">
        <f>IF(G35="Wholesale",'Master Data'!$V$111*$M35,'Master Data'!$W$111*$M35)</f>
        <v>3.0769230769230771</v>
      </c>
      <c r="T35" s="115">
        <f>IF(F35=1000,'Master Data'!$AF$40,IF(F35=500,'Master Data'!$AF$39,IF(F35=250,'Master Data'!$AF$39,'Master Data'!$AF$38)))</f>
        <v>11.116666666666667</v>
      </c>
      <c r="U35" s="117">
        <f>IF(F35=1000,VLOOKUP($E35,'Master Data'!$B:$W,IF(G35="Wholesale",21,22),FALSE),IF(F35=500,VLOOKUP($E35,'Master Data'!$B:$W,IF(G35="Wholesale",21,22),FALSE)/2,IF(F35=250,VLOOKUP($E35,'Master Data'!$B:$W,IF(G35="Wholesale",21,22),FALSE)/3,IF(F35=100,VLOOKUP($E35,'Master Data'!$B:$W,IF(G35="Wholesale",21,22),FALSE)/4,IF(F35=50,VLOOKUP($E35,'Master Data'!$B:$W,IF(G35="Wholesale",21,22),FALSE)/6,IF(F35=25,VLOOKUP($E35,'Master Data'!$B:$W,IF(G35="Wholesale",21,22),FALSE)/8,VLOOKUP($E35,'Master Data'!$B:$W,IF(G35="Wholesale",21,22),FALSE)/8))))))</f>
        <v>0</v>
      </c>
      <c r="V35" s="117">
        <f>+VLOOKUP($I35,'Master Data'!$B:$V,IF(G35="Wholesale",20,21),FALSE)</f>
        <v>40</v>
      </c>
      <c r="W35" s="144">
        <f>IF(F35=1000,'Master Data'!$AB$32,IF(F35=500,'Master Data'!$AB$33,IF(F35=250,'Master Data'!$AB$34,IF(F35=100,'Master Data'!$AB$35,IF(F35=50,'Master Data'!$AB$36,IF(F35=25,'Master Data'!$AB$37,'Master Data'!$AB$38))))))</f>
        <v>56.550000000000004</v>
      </c>
      <c r="X35" s="115">
        <f t="shared" si="26"/>
        <v>47.368433048433054</v>
      </c>
      <c r="Y35" s="127">
        <f t="shared" si="27"/>
        <v>561.05276353276361</v>
      </c>
      <c r="Z35" s="128">
        <f t="shared" si="28"/>
        <v>187.01758784425454</v>
      </c>
      <c r="AA35" s="127">
        <f t="shared" si="29"/>
        <v>588.71943019943024</v>
      </c>
      <c r="AB35" s="286">
        <f t="shared" si="30"/>
        <v>48.480099715099726</v>
      </c>
      <c r="AC35" s="127">
        <f t="shared" si="31"/>
        <v>533.28109686609696</v>
      </c>
      <c r="AD35" s="287">
        <f t="shared" si="32"/>
        <v>799.92164529914544</v>
      </c>
    </row>
    <row r="36" spans="1:30" ht="30">
      <c r="A36" s="125">
        <f t="shared" si="9"/>
        <v>34</v>
      </c>
      <c r="B36" s="121" t="s">
        <v>195</v>
      </c>
      <c r="C36" s="121" t="s">
        <v>196</v>
      </c>
      <c r="D36" s="126" t="s">
        <v>292</v>
      </c>
      <c r="E36" s="116" t="s">
        <v>295</v>
      </c>
      <c r="F36" s="126">
        <v>1000</v>
      </c>
      <c r="G36" s="126" t="s">
        <v>312</v>
      </c>
      <c r="H36" s="126" t="s">
        <v>320</v>
      </c>
      <c r="I36" s="125" t="s">
        <v>371</v>
      </c>
      <c r="J36" s="116">
        <v>10</v>
      </c>
      <c r="K36" s="117">
        <f>IF(D36="In House Production",INDEX('Master Data'!$H$552:$J$580,MATCH('Production Cost'!B36,'Master Data'!$H$552:$H$580,0),3),VLOOKUP($B36,'Master Data'!$B:$W,IF(G36="Wholesale",21,22),FALSE))</f>
        <v>0.24647333333333329</v>
      </c>
      <c r="L36" s="115">
        <v>1</v>
      </c>
      <c r="M36" s="115">
        <f>INDEX('Master Data'!$B$323:$K$376,MATCH('Production Cost'!$B36,'Master Data'!$B$323:$B$376,0),MATCH('Production Cost'!F$3,'Master Data'!$B$323:$K$323,0))</f>
        <v>1</v>
      </c>
      <c r="N36" s="116" t="str">
        <f>IF(H36="Maruthi Plastics",INDEX('Master Data'!$B$202:$L$255,MATCH('Production Cost'!B36,'Master Data'!$B$202:$B$255,0),MATCH('Production Cost'!F36,'Master Data'!$B$202:$L$202,0)),INDEX('Master Data'!$B$261:$L$314,MATCH('Production Cost'!B36,'Master Data'!$B$261:$B$314,0),MATCH('Production Cost'!F36,'Master Data'!$B$261:$L$261,0)))</f>
        <v>One side Transparent Flat Bottom with Zipper (1000Gm)</v>
      </c>
      <c r="O36" s="115">
        <f t="shared" si="0"/>
        <v>1000</v>
      </c>
      <c r="P36" s="117">
        <f>+VLOOKUP($N36,'Master Data'!$B:$W,IF(G36="Wholesale",21,22),FALSE)</f>
        <v>11.94</v>
      </c>
      <c r="Q36" s="164">
        <f t="shared" si="2"/>
        <v>11.94</v>
      </c>
      <c r="R36" s="115">
        <f>IF(G36="Wholesale",'Master Data'!$V$127*$M36,'Master Data'!$W$127*$M36)</f>
        <v>2.2000000000000002</v>
      </c>
      <c r="S36" s="115">
        <f>IF(G36="Wholesale",'Master Data'!$V$111*$M36,'Master Data'!$W$111*$M36)</f>
        <v>3.0769230769230771</v>
      </c>
      <c r="T36" s="115">
        <f>IF(F36=1000,'Master Data'!$AF$40,IF(F36=500,'Master Data'!$AF$39,IF(F36=250,'Master Data'!$AF$39,'Master Data'!$AF$38)))</f>
        <v>11.116666666666667</v>
      </c>
      <c r="U36" s="117">
        <f>IF(F36=1000,VLOOKUP($E36,'Master Data'!$B:$W,IF(G36="Wholesale",21,22),FALSE),IF(F36=500,VLOOKUP($E36,'Master Data'!$B:$W,IF(G36="Wholesale",21,22),FALSE)/2,IF(F36=250,VLOOKUP($E36,'Master Data'!$B:$W,IF(G36="Wholesale",21,22),FALSE)/3,IF(F36=100,VLOOKUP($E36,'Master Data'!$B:$W,IF(G36="Wholesale",21,22),FALSE)/4,IF(F36=50,VLOOKUP($E36,'Master Data'!$B:$W,IF(G36="Wholesale",21,22),FALSE)/6,IF(F36=25,VLOOKUP($E36,'Master Data'!$B:$W,IF(G36="Wholesale",21,22),FALSE)/8,VLOOKUP($E36,'Master Data'!$B:$W,IF(G36="Wholesale",21,22),FALSE)/8))))))</f>
        <v>0</v>
      </c>
      <c r="V36" s="117">
        <f>+VLOOKUP($I36,'Master Data'!$B:$V,IF(G36="Wholesale",20,21),FALSE)</f>
        <v>40</v>
      </c>
      <c r="W36" s="144">
        <f>IF(F36=1000,'Master Data'!$AB$32,IF(F36=500,'Master Data'!$AB$33,IF(F36=250,'Master Data'!$AB$34,IF(F36=100,'Master Data'!$AB$35,IF(F36=50,'Master Data'!$AB$36,IF(F36=25,'Master Data'!$AB$37,'Master Data'!$AB$38))))))</f>
        <v>56.550000000000004</v>
      </c>
      <c r="X36" s="115">
        <f t="shared" si="3"/>
        <v>26.36902564102564</v>
      </c>
      <c r="Y36" s="127">
        <f t="shared" si="4"/>
        <v>330.05928205128203</v>
      </c>
      <c r="Z36" s="128">
        <f t="shared" si="1"/>
        <v>330.05928205128203</v>
      </c>
      <c r="AA36" s="127">
        <f t="shared" si="5"/>
        <v>357.72594871794871</v>
      </c>
      <c r="AB36" s="286">
        <f t="shared" si="6"/>
        <v>27.480692307692308</v>
      </c>
      <c r="AC36" s="127">
        <f t="shared" si="7"/>
        <v>302.28761538461538</v>
      </c>
      <c r="AD36" s="287">
        <f t="shared" si="8"/>
        <v>453.43142307692307</v>
      </c>
    </row>
    <row r="37" spans="1:30" ht="30">
      <c r="A37" s="125">
        <f t="shared" si="9"/>
        <v>35</v>
      </c>
      <c r="B37" s="121" t="s">
        <v>197</v>
      </c>
      <c r="C37" s="121" t="s">
        <v>198</v>
      </c>
      <c r="D37" s="126" t="s">
        <v>292</v>
      </c>
      <c r="E37" s="116" t="s">
        <v>295</v>
      </c>
      <c r="F37" s="126">
        <v>1000</v>
      </c>
      <c r="G37" s="126" t="s">
        <v>312</v>
      </c>
      <c r="H37" s="126" t="s">
        <v>320</v>
      </c>
      <c r="I37" s="125" t="s">
        <v>371</v>
      </c>
      <c r="J37" s="116">
        <v>10</v>
      </c>
      <c r="K37" s="117">
        <f>IF(D37="In House Production",INDEX('Master Data'!$H$552:$J$580,MATCH('Production Cost'!B37,'Master Data'!$H$552:$H$580,0),3),VLOOKUP($B37,'Master Data'!$B:$W,IF(G37="Wholesale",21,22),FALSE))</f>
        <v>0.35388760389036239</v>
      </c>
      <c r="L37" s="115">
        <v>1</v>
      </c>
      <c r="M37" s="115">
        <f>INDEX('Master Data'!$B$323:$K$376,MATCH('Production Cost'!$B37,'Master Data'!$B$323:$B$376,0),MATCH('Production Cost'!F$3,'Master Data'!$B$323:$K$323,0))</f>
        <v>1</v>
      </c>
      <c r="N37" s="116" t="str">
        <f>IF(H37="Maruthi Plastics",INDEX('Master Data'!$B$202:$L$255,MATCH('Production Cost'!B37,'Master Data'!$B$202:$B$255,0),MATCH('Production Cost'!F37,'Master Data'!$B$202:$L$202,0)),INDEX('Master Data'!$B$261:$L$314,MATCH('Production Cost'!B37,'Master Data'!$B$261:$B$314,0),MATCH('Production Cost'!F37,'Master Data'!$B$261:$L$261,0)))</f>
        <v>One side Transparent Flat Bottom with Zipper (1000Gm)</v>
      </c>
      <c r="O37" s="115">
        <f t="shared" si="0"/>
        <v>1000</v>
      </c>
      <c r="P37" s="117">
        <f>+VLOOKUP($N37,'Master Data'!$B:$W,IF(G37="Wholesale",21,22),FALSE)</f>
        <v>11.94</v>
      </c>
      <c r="Q37" s="164">
        <f t="shared" si="2"/>
        <v>11.94</v>
      </c>
      <c r="R37" s="115">
        <f>IF(G37="Wholesale",'Master Data'!$V$127*$M37,'Master Data'!$W$127*$M37)</f>
        <v>2.2000000000000002</v>
      </c>
      <c r="S37" s="115">
        <f>IF(G37="Wholesale",'Master Data'!$V$111*$M37,'Master Data'!$W$111*$M37)</f>
        <v>3.0769230769230771</v>
      </c>
      <c r="T37" s="115">
        <f>IF(F37=1000,'Master Data'!$AF$40,IF(F37=500,'Master Data'!$AF$39,IF(F37=250,'Master Data'!$AF$39,'Master Data'!$AF$38)))</f>
        <v>11.116666666666667</v>
      </c>
      <c r="U37" s="117">
        <f>IF(F37=1000,VLOOKUP($E37,'Master Data'!$B:$W,IF(G37="Wholesale",21,22),FALSE),IF(F37=500,VLOOKUP($E37,'Master Data'!$B:$W,IF(G37="Wholesale",21,22),FALSE)/2,IF(F37=250,VLOOKUP($E37,'Master Data'!$B:$W,IF(G37="Wholesale",21,22),FALSE)/3,IF(F37=100,VLOOKUP($E37,'Master Data'!$B:$W,IF(G37="Wholesale",21,22),FALSE)/4,IF(F37=50,VLOOKUP($E37,'Master Data'!$B:$W,IF(G37="Wholesale",21,22),FALSE)/6,IF(F37=25,VLOOKUP($E37,'Master Data'!$B:$W,IF(G37="Wholesale",21,22),FALSE)/8,VLOOKUP($E37,'Master Data'!$B:$W,IF(G37="Wholesale",21,22),FALSE)/8))))))</f>
        <v>0</v>
      </c>
      <c r="V37" s="117">
        <f>+VLOOKUP($I37,'Master Data'!$B:$V,IF(G37="Wholesale",20,21),FALSE)</f>
        <v>40</v>
      </c>
      <c r="W37" s="144">
        <f>IF(F37=1000,'Master Data'!$AB$32,IF(F37=500,'Master Data'!$AB$33,IF(F37=250,'Master Data'!$AB$34,IF(F37=100,'Master Data'!$AB$35,IF(F37=50,'Master Data'!$AB$36,IF(F37=25,'Master Data'!$AB$37,'Master Data'!$AB$38))))))</f>
        <v>56.550000000000004</v>
      </c>
      <c r="X37" s="115">
        <f t="shared" si="3"/>
        <v>37.110452696728551</v>
      </c>
      <c r="Y37" s="127">
        <f t="shared" si="4"/>
        <v>448.21497966401404</v>
      </c>
      <c r="Z37" s="128">
        <f t="shared" si="1"/>
        <v>448.21497966401404</v>
      </c>
      <c r="AA37" s="127">
        <f t="shared" si="5"/>
        <v>475.88164633068072</v>
      </c>
      <c r="AB37" s="286">
        <f t="shared" si="6"/>
        <v>38.222119363395215</v>
      </c>
      <c r="AC37" s="127">
        <f t="shared" si="7"/>
        <v>420.44331299734739</v>
      </c>
      <c r="AD37" s="287">
        <f t="shared" si="8"/>
        <v>630.66496949602106</v>
      </c>
    </row>
    <row r="38" spans="1:30" ht="30">
      <c r="A38" s="125">
        <f t="shared" si="9"/>
        <v>36</v>
      </c>
      <c r="B38" s="121" t="s">
        <v>199</v>
      </c>
      <c r="C38" s="121" t="s">
        <v>200</v>
      </c>
      <c r="D38" s="126" t="s">
        <v>292</v>
      </c>
      <c r="E38" s="116" t="s">
        <v>295</v>
      </c>
      <c r="F38" s="126">
        <v>1000</v>
      </c>
      <c r="G38" s="126" t="s">
        <v>312</v>
      </c>
      <c r="H38" s="126" t="s">
        <v>320</v>
      </c>
      <c r="I38" s="125" t="s">
        <v>371</v>
      </c>
      <c r="J38" s="116">
        <v>10</v>
      </c>
      <c r="K38" s="117">
        <f>IF(D38="In House Production",INDEX('Master Data'!$H$552:$J$580,MATCH('Production Cost'!B38,'Master Data'!$H$552:$H$580,0),3),VLOOKUP($B38,'Master Data'!$B:$W,IF(G38="Wholesale",21,22),FALSE))</f>
        <v>0.78418858654572943</v>
      </c>
      <c r="L38" s="115">
        <v>1</v>
      </c>
      <c r="M38" s="115">
        <f>INDEX('Master Data'!$B$323:$K$376,MATCH('Production Cost'!$B38,'Master Data'!$B$323:$B$376,0),MATCH('Production Cost'!F$3,'Master Data'!$B$323:$K$323,0))</f>
        <v>1</v>
      </c>
      <c r="N38" s="116" t="str">
        <f>IF(H38="Maruthi Plastics",INDEX('Master Data'!$B$202:$L$255,MATCH('Production Cost'!B38,'Master Data'!$B$202:$B$255,0),MATCH('Production Cost'!F38,'Master Data'!$B$202:$L$202,0)),INDEX('Master Data'!$B$261:$L$314,MATCH('Production Cost'!B38,'Master Data'!$B$261:$B$314,0),MATCH('Production Cost'!F38,'Master Data'!$B$261:$L$261,0)))</f>
        <v>One side Transparent Flat Bottom with Zipper (1000Gm)</v>
      </c>
      <c r="O38" s="115">
        <f t="shared" si="0"/>
        <v>1000</v>
      </c>
      <c r="P38" s="117">
        <f>+VLOOKUP($N38,'Master Data'!$B:$W,IF(G38="Wholesale",21,22),FALSE)</f>
        <v>11.94</v>
      </c>
      <c r="Q38" s="164">
        <f t="shared" si="2"/>
        <v>11.94</v>
      </c>
      <c r="R38" s="115">
        <f>IF(G38="Wholesale",'Master Data'!$V$127*$M38,'Master Data'!$W$127*$M38)</f>
        <v>2.2000000000000002</v>
      </c>
      <c r="S38" s="115">
        <f>IF(G38="Wholesale",'Master Data'!$V$111*$M38,'Master Data'!$W$111*$M38)</f>
        <v>3.0769230769230771</v>
      </c>
      <c r="T38" s="115">
        <f>IF(F38=1000,'Master Data'!$AF$40,IF(F38=500,'Master Data'!$AF$39,IF(F38=250,'Master Data'!$AF$39,'Master Data'!$AF$38)))</f>
        <v>11.116666666666667</v>
      </c>
      <c r="U38" s="117">
        <f>IF(F38=1000,VLOOKUP($E38,'Master Data'!$B:$W,IF(G38="Wholesale",21,22),FALSE),IF(F38=500,VLOOKUP($E38,'Master Data'!$B:$W,IF(G38="Wholesale",21,22),FALSE)/2,IF(F38=250,VLOOKUP($E38,'Master Data'!$B:$W,IF(G38="Wholesale",21,22),FALSE)/3,IF(F38=100,VLOOKUP($E38,'Master Data'!$B:$W,IF(G38="Wholesale",21,22),FALSE)/4,IF(F38=50,VLOOKUP($E38,'Master Data'!$B:$W,IF(G38="Wholesale",21,22),FALSE)/6,IF(F38=25,VLOOKUP($E38,'Master Data'!$B:$W,IF(G38="Wholesale",21,22),FALSE)/8,VLOOKUP($E38,'Master Data'!$B:$W,IF(G38="Wholesale",21,22),FALSE)/8))))))</f>
        <v>0</v>
      </c>
      <c r="V38" s="117">
        <f>+VLOOKUP($I38,'Master Data'!$B:$V,IF(G38="Wholesale",20,21),FALSE)</f>
        <v>40</v>
      </c>
      <c r="W38" s="144">
        <f>IF(F38=1000,'Master Data'!$AB$32,IF(F38=500,'Master Data'!$AB$33,IF(F38=250,'Master Data'!$AB$34,IF(F38=100,'Master Data'!$AB$35,IF(F38=50,'Master Data'!$AB$36,IF(F38=25,'Master Data'!$AB$37,'Master Data'!$AB$38))))))</f>
        <v>56.550000000000004</v>
      </c>
      <c r="X38" s="115">
        <f t="shared" si="3"/>
        <v>80.140550962265266</v>
      </c>
      <c r="Y38" s="127">
        <f t="shared" si="4"/>
        <v>921.54606058491788</v>
      </c>
      <c r="Z38" s="128">
        <f t="shared" si="1"/>
        <v>921.54606058491788</v>
      </c>
      <c r="AA38" s="127">
        <f t="shared" si="5"/>
        <v>949.21272725158451</v>
      </c>
      <c r="AB38" s="286">
        <f t="shared" si="6"/>
        <v>81.25221762893193</v>
      </c>
      <c r="AC38" s="127">
        <f t="shared" si="7"/>
        <v>893.77439391825123</v>
      </c>
      <c r="AD38" s="287">
        <f t="shared" si="8"/>
        <v>1340.661590877377</v>
      </c>
    </row>
    <row r="39" spans="1:30" ht="30">
      <c r="A39" s="125">
        <f t="shared" si="9"/>
        <v>37</v>
      </c>
      <c r="B39" s="121" t="s">
        <v>6</v>
      </c>
      <c r="C39" s="121" t="s">
        <v>201</v>
      </c>
      <c r="D39" s="126" t="s">
        <v>292</v>
      </c>
      <c r="E39" s="116" t="s">
        <v>295</v>
      </c>
      <c r="F39" s="126">
        <v>1000</v>
      </c>
      <c r="G39" s="126" t="s">
        <v>312</v>
      </c>
      <c r="H39" s="126" t="s">
        <v>320</v>
      </c>
      <c r="I39" s="125" t="s">
        <v>371</v>
      </c>
      <c r="J39" s="116">
        <v>10</v>
      </c>
      <c r="K39" s="117">
        <f>IF(D39="In House Production",INDEX('Master Data'!$H$552:$J$580,MATCH('Production Cost'!B39,'Master Data'!$H$552:$H$580,0),3),VLOOKUP($B39,'Master Data'!$B:$W,IF(G39="Wholesale",21,22),FALSE))</f>
        <v>0.48160920353982295</v>
      </c>
      <c r="L39" s="115">
        <v>1</v>
      </c>
      <c r="M39" s="115">
        <f>INDEX('Master Data'!$B$323:$K$376,MATCH('Production Cost'!$B39,'Master Data'!$B$323:$B$376,0),MATCH('Production Cost'!F$3,'Master Data'!$B$323:$K$323,0))</f>
        <v>1</v>
      </c>
      <c r="N39" s="116" t="str">
        <f>IF(H39="Maruthi Plastics",INDEX('Master Data'!$B$202:$L$255,MATCH('Production Cost'!B39,'Master Data'!$B$202:$B$255,0),MATCH('Production Cost'!F39,'Master Data'!$B$202:$L$202,0)),INDEX('Master Data'!$B$261:$L$314,MATCH('Production Cost'!B39,'Master Data'!$B$261:$B$314,0),MATCH('Production Cost'!F39,'Master Data'!$B$261:$L$261,0)))</f>
        <v>One side Transparent Flat Bottom with Zipper (1000Gm)</v>
      </c>
      <c r="O39" s="115">
        <f t="shared" ref="O39:O71" si="33">1000/L39</f>
        <v>1000</v>
      </c>
      <c r="P39" s="117">
        <f>+VLOOKUP($N39,'Master Data'!$B:$W,IF(G39="Wholesale",21,22),FALSE)</f>
        <v>11.94</v>
      </c>
      <c r="Q39" s="164">
        <f t="shared" ref="Q39:Q71" si="34">+P39*M39</f>
        <v>11.94</v>
      </c>
      <c r="R39" s="115">
        <f>IF(G39="Wholesale",'Master Data'!$V$127*$M39,'Master Data'!$W$127*$M39)</f>
        <v>2.2000000000000002</v>
      </c>
      <c r="S39" s="115">
        <f>IF(G39="Wholesale",'Master Data'!$V$111*$M39,'Master Data'!$W$111*$M39)</f>
        <v>3.0769230769230771</v>
      </c>
      <c r="T39" s="115">
        <f>IF(F39=1000,'Master Data'!$AF$40,IF(F39=500,'Master Data'!$AF$39,IF(F39=250,'Master Data'!$AF$39,'Master Data'!$AF$38)))</f>
        <v>11.116666666666667</v>
      </c>
      <c r="U39" s="117">
        <f>IF(F39=1000,VLOOKUP($E39,'Master Data'!$B:$W,IF(G39="Wholesale",21,22),FALSE),IF(F39=500,VLOOKUP($E39,'Master Data'!$B:$W,IF(G39="Wholesale",21,22),FALSE)/2,IF(F39=250,VLOOKUP($E39,'Master Data'!$B:$W,IF(G39="Wholesale",21,22),FALSE)/3,IF(F39=100,VLOOKUP($E39,'Master Data'!$B:$W,IF(G39="Wholesale",21,22),FALSE)/4,IF(F39=50,VLOOKUP($E39,'Master Data'!$B:$W,IF(G39="Wholesale",21,22),FALSE)/6,IF(F39=25,VLOOKUP($E39,'Master Data'!$B:$W,IF(G39="Wholesale",21,22),FALSE)/8,VLOOKUP($E39,'Master Data'!$B:$W,IF(G39="Wholesale",21,22),FALSE)/8))))))</f>
        <v>0</v>
      </c>
      <c r="V39" s="117">
        <f>+VLOOKUP($I39,'Master Data'!$B:$V,IF(G39="Wholesale",20,21),FALSE)</f>
        <v>40</v>
      </c>
      <c r="W39" s="144">
        <f>IF(F39=1000,'Master Data'!$AB$32,IF(F39=500,'Master Data'!$AB$33,IF(F39=250,'Master Data'!$AB$34,IF(F39=100,'Master Data'!$AB$35,IF(F39=50,'Master Data'!$AB$36,IF(F39=25,'Master Data'!$AB$37,'Master Data'!$AB$38))))))</f>
        <v>56.550000000000004</v>
      </c>
      <c r="X39" s="115">
        <f t="shared" ref="X39:X71" si="35">+((K39*F39)+$Q39+$R39+$U39+S39)*($J39/100)</f>
        <v>49.882612661674607</v>
      </c>
      <c r="Y39" s="127">
        <f t="shared" si="4"/>
        <v>588.70873927842058</v>
      </c>
      <c r="Z39" s="128">
        <f t="shared" ref="Z39:Z71" si="36">+Y39/L39</f>
        <v>588.70873927842058</v>
      </c>
      <c r="AA39" s="127">
        <f t="shared" ref="AA39:AA71" si="37">(F39*K39)+Q39+R39+S39+T39+U39+W39+X39</f>
        <v>616.37540594508721</v>
      </c>
      <c r="AB39" s="286">
        <f t="shared" si="6"/>
        <v>50.994279328341271</v>
      </c>
      <c r="AC39" s="127">
        <f t="shared" si="7"/>
        <v>560.93707261175393</v>
      </c>
      <c r="AD39" s="287">
        <f t="shared" si="8"/>
        <v>841.40560891763084</v>
      </c>
    </row>
    <row r="40" spans="1:30" ht="30">
      <c r="A40" s="125">
        <f t="shared" si="9"/>
        <v>38</v>
      </c>
      <c r="B40" s="121" t="s">
        <v>20</v>
      </c>
      <c r="C40" s="121" t="s">
        <v>202</v>
      </c>
      <c r="D40" s="126" t="s">
        <v>292</v>
      </c>
      <c r="E40" s="116" t="s">
        <v>295</v>
      </c>
      <c r="F40" s="126">
        <v>1000</v>
      </c>
      <c r="G40" s="126" t="s">
        <v>312</v>
      </c>
      <c r="H40" s="126" t="s">
        <v>320</v>
      </c>
      <c r="I40" s="125" t="s">
        <v>371</v>
      </c>
      <c r="J40" s="116">
        <v>10</v>
      </c>
      <c r="K40" s="117">
        <f>IF(D40="In House Production",INDEX('Master Data'!$H$552:$J$580,MATCH('Production Cost'!B40,'Master Data'!$H$552:$H$580,0),3),VLOOKUP($B40,'Master Data'!$B:$W,IF(G40="Wholesale",21,22),FALSE))</f>
        <v>0.32715957983193278</v>
      </c>
      <c r="L40" s="115">
        <v>1</v>
      </c>
      <c r="M40" s="115">
        <f>INDEX('Master Data'!$B$323:$K$376,MATCH('Production Cost'!$B40,'Master Data'!$B$323:$B$376,0),MATCH('Production Cost'!F$3,'Master Data'!$B$323:$K$323,0))</f>
        <v>1</v>
      </c>
      <c r="N40" s="116" t="str">
        <f>IF(H40="Maruthi Plastics",INDEX('Master Data'!$B$202:$L$255,MATCH('Production Cost'!B40,'Master Data'!$B$202:$B$255,0),MATCH('Production Cost'!F40,'Master Data'!$B$202:$L$202,0)),INDEX('Master Data'!$B$261:$L$314,MATCH('Production Cost'!B40,'Master Data'!$B$261:$B$314,0),MATCH('Production Cost'!F40,'Master Data'!$B$261:$L$261,0)))</f>
        <v>One side Transparent Flat Bottom with Zipper (1000Gm)</v>
      </c>
      <c r="O40" s="115">
        <f t="shared" si="33"/>
        <v>1000</v>
      </c>
      <c r="P40" s="117">
        <f>+VLOOKUP($N40,'Master Data'!$B:$W,IF(G40="Wholesale",21,22),FALSE)</f>
        <v>11.94</v>
      </c>
      <c r="Q40" s="164">
        <f t="shared" si="34"/>
        <v>11.94</v>
      </c>
      <c r="R40" s="115">
        <f>IF(G40="Wholesale",'Master Data'!$V$127*$M40,'Master Data'!$W$127*$M40)</f>
        <v>2.2000000000000002</v>
      </c>
      <c r="S40" s="115">
        <f>IF(G40="Wholesale",'Master Data'!$V$111*$M40,'Master Data'!$W$111*$M40)</f>
        <v>3.0769230769230771</v>
      </c>
      <c r="T40" s="115">
        <f>IF(F40=1000,'Master Data'!$AF$40,IF(F40=500,'Master Data'!$AF$39,IF(F40=250,'Master Data'!$AF$39,'Master Data'!$AF$38)))</f>
        <v>11.116666666666667</v>
      </c>
      <c r="U40" s="117">
        <f>IF(F40=1000,VLOOKUP($E40,'Master Data'!$B:$W,IF(G40="Wholesale",21,22),FALSE),IF(F40=500,VLOOKUP($E40,'Master Data'!$B:$W,IF(G40="Wholesale",21,22),FALSE)/2,IF(F40=250,VLOOKUP($E40,'Master Data'!$B:$W,IF(G40="Wholesale",21,22),FALSE)/3,IF(F40=100,VLOOKUP($E40,'Master Data'!$B:$W,IF(G40="Wholesale",21,22),FALSE)/4,IF(F40=50,VLOOKUP($E40,'Master Data'!$B:$W,IF(G40="Wholesale",21,22),FALSE)/6,IF(F40=25,VLOOKUP($E40,'Master Data'!$B:$W,IF(G40="Wholesale",21,22),FALSE)/8,VLOOKUP($E40,'Master Data'!$B:$W,IF(G40="Wholesale",21,22),FALSE)/8))))))</f>
        <v>0</v>
      </c>
      <c r="V40" s="117">
        <f>+VLOOKUP($I40,'Master Data'!$B:$V,IF(G40="Wholesale",20,21),FALSE)</f>
        <v>40</v>
      </c>
      <c r="W40" s="144">
        <f>IF(F40=1000,'Master Data'!$AB$32,IF(F40=500,'Master Data'!$AB$33,IF(F40=250,'Master Data'!$AB$34,IF(F40=100,'Master Data'!$AB$35,IF(F40=50,'Master Data'!$AB$36,IF(F40=25,'Master Data'!$AB$37,'Master Data'!$AB$38))))))</f>
        <v>56.550000000000004</v>
      </c>
      <c r="X40" s="115">
        <f t="shared" si="35"/>
        <v>34.437650290885585</v>
      </c>
      <c r="Y40" s="127">
        <f t="shared" si="4"/>
        <v>418.81415319974144</v>
      </c>
      <c r="Z40" s="128">
        <f t="shared" si="36"/>
        <v>418.81415319974144</v>
      </c>
      <c r="AA40" s="127">
        <f t="shared" si="37"/>
        <v>446.48081986640813</v>
      </c>
      <c r="AB40" s="286">
        <f t="shared" si="6"/>
        <v>35.549316957552257</v>
      </c>
      <c r="AC40" s="127">
        <f t="shared" si="7"/>
        <v>391.04248653307479</v>
      </c>
      <c r="AD40" s="287">
        <f t="shared" si="8"/>
        <v>586.56372979961225</v>
      </c>
    </row>
    <row r="41" spans="1:30" ht="30">
      <c r="A41" s="125">
        <f t="shared" si="9"/>
        <v>39</v>
      </c>
      <c r="B41" s="121" t="s">
        <v>7</v>
      </c>
      <c r="C41" s="121" t="s">
        <v>203</v>
      </c>
      <c r="D41" s="126" t="s">
        <v>292</v>
      </c>
      <c r="E41" s="116" t="s">
        <v>295</v>
      </c>
      <c r="F41" s="126">
        <v>1000</v>
      </c>
      <c r="G41" s="126" t="s">
        <v>312</v>
      </c>
      <c r="H41" s="126" t="s">
        <v>320</v>
      </c>
      <c r="I41" s="125" t="s">
        <v>371</v>
      </c>
      <c r="J41" s="116">
        <v>10</v>
      </c>
      <c r="K41" s="117">
        <f>IF(D41="In House Production",INDEX('Master Data'!$H$552:$J$580,MATCH('Production Cost'!B41,'Master Data'!$H$552:$H$580,0),3),VLOOKUP($B41,'Master Data'!$B:$W,IF(G41="Wholesale",21,22),FALSE))</f>
        <v>1.2879825242718446</v>
      </c>
      <c r="L41" s="115">
        <v>1</v>
      </c>
      <c r="M41" s="115">
        <f>INDEX('Master Data'!$B$323:$K$376,MATCH('Production Cost'!$B41,'Master Data'!$B$323:$B$376,0),MATCH('Production Cost'!F$3,'Master Data'!$B$323:$K$323,0))</f>
        <v>1</v>
      </c>
      <c r="N41" s="116" t="str">
        <f>IF(H41="Maruthi Plastics",INDEX('Master Data'!$B$202:$L$255,MATCH('Production Cost'!B41,'Master Data'!$B$202:$B$255,0),MATCH('Production Cost'!F41,'Master Data'!$B$202:$L$202,0)),INDEX('Master Data'!$B$261:$L$314,MATCH('Production Cost'!B41,'Master Data'!$B$261:$B$314,0),MATCH('Production Cost'!F41,'Master Data'!$B$261:$L$261,0)))</f>
        <v>One side Transparent Flat Bottom with Zipper (1000Gm)</v>
      </c>
      <c r="O41" s="115">
        <f t="shared" si="33"/>
        <v>1000</v>
      </c>
      <c r="P41" s="117">
        <f>+VLOOKUP($N41,'Master Data'!$B:$W,IF(G41="Wholesale",21,22),FALSE)</f>
        <v>11.94</v>
      </c>
      <c r="Q41" s="164">
        <f t="shared" si="34"/>
        <v>11.94</v>
      </c>
      <c r="R41" s="115">
        <f>IF(G41="Wholesale",'Master Data'!$V$127*$M41,'Master Data'!$W$127*$M41)</f>
        <v>2.2000000000000002</v>
      </c>
      <c r="S41" s="115">
        <f>IF(G41="Wholesale",'Master Data'!$V$111*$M41,'Master Data'!$W$111*$M41)</f>
        <v>3.0769230769230771</v>
      </c>
      <c r="T41" s="115">
        <f>IF(F41=1000,'Master Data'!$AF$40,IF(F41=500,'Master Data'!$AF$39,IF(F41=250,'Master Data'!$AF$39,'Master Data'!$AF$38)))</f>
        <v>11.116666666666667</v>
      </c>
      <c r="U41" s="117">
        <f>IF(F41=1000,VLOOKUP($E41,'Master Data'!$B:$W,IF(G41="Wholesale",21,22),FALSE),IF(F41=500,VLOOKUP($E41,'Master Data'!$B:$W,IF(G41="Wholesale",21,22),FALSE)/2,IF(F41=250,VLOOKUP($E41,'Master Data'!$B:$W,IF(G41="Wholesale",21,22),FALSE)/3,IF(F41=100,VLOOKUP($E41,'Master Data'!$B:$W,IF(G41="Wholesale",21,22),FALSE)/4,IF(F41=50,VLOOKUP($E41,'Master Data'!$B:$W,IF(G41="Wholesale",21,22),FALSE)/6,IF(F41=25,VLOOKUP($E41,'Master Data'!$B:$W,IF(G41="Wholesale",21,22),FALSE)/8,VLOOKUP($E41,'Master Data'!$B:$W,IF(G41="Wholesale",21,22),FALSE)/8))))))</f>
        <v>0</v>
      </c>
      <c r="V41" s="117">
        <f>+VLOOKUP($I41,'Master Data'!$B:$V,IF(G41="Wholesale",20,21),FALSE)</f>
        <v>40</v>
      </c>
      <c r="W41" s="144">
        <f>IF(F41=1000,'Master Data'!$AB$32,IF(F41=500,'Master Data'!$AB$33,IF(F41=250,'Master Data'!$AB$34,IF(F41=100,'Master Data'!$AB$35,IF(F41=50,'Master Data'!$AB$36,IF(F41=25,'Master Data'!$AB$37,'Master Data'!$AB$38))))))</f>
        <v>56.550000000000004</v>
      </c>
      <c r="X41" s="115">
        <f t="shared" si="35"/>
        <v>130.51994473487679</v>
      </c>
      <c r="Y41" s="127">
        <f t="shared" si="4"/>
        <v>1475.7193920836446</v>
      </c>
      <c r="Z41" s="128">
        <f t="shared" si="36"/>
        <v>1475.7193920836446</v>
      </c>
      <c r="AA41" s="127">
        <f t="shared" si="37"/>
        <v>1503.3860587503111</v>
      </c>
      <c r="AB41" s="286">
        <f t="shared" si="6"/>
        <v>131.63161140154344</v>
      </c>
      <c r="AC41" s="127">
        <f t="shared" si="7"/>
        <v>1447.9477254169778</v>
      </c>
      <c r="AD41" s="287">
        <f t="shared" si="8"/>
        <v>2171.9215881254668</v>
      </c>
    </row>
    <row r="42" spans="1:30" ht="30">
      <c r="A42" s="125">
        <f t="shared" si="9"/>
        <v>40</v>
      </c>
      <c r="B42" s="119" t="s">
        <v>204</v>
      </c>
      <c r="C42" s="121" t="s">
        <v>205</v>
      </c>
      <c r="D42" s="126" t="str">
        <f>+VLOOKUP($B42,'Master Data'!$B$20:$W$197,2,FALSE)</f>
        <v>True Ventures</v>
      </c>
      <c r="E42" s="116" t="s">
        <v>295</v>
      </c>
      <c r="F42" s="126">
        <v>1000</v>
      </c>
      <c r="G42" s="126" t="s">
        <v>312</v>
      </c>
      <c r="H42" s="126" t="s">
        <v>320</v>
      </c>
      <c r="I42" s="125" t="s">
        <v>371</v>
      </c>
      <c r="J42" s="116">
        <v>10</v>
      </c>
      <c r="K42" s="117">
        <f>IF(D42="In House Production",INDEX('Master Data'!$H$552:$J$580,MATCH('Production Cost'!B42,'Master Data'!$H$552:$H$580,0),3),VLOOKUP($B42,'Master Data'!$B:$W,IF(G42="Wholesale",21,22),FALSE))</f>
        <v>183.5</v>
      </c>
      <c r="L42" s="115">
        <v>1</v>
      </c>
      <c r="M42" s="115">
        <f>INDEX('Master Data'!$B$323:$K$376,MATCH('Production Cost'!$B42,'Master Data'!$B$323:$B$376,0),MATCH('Production Cost'!F$3,'Master Data'!$B$323:$K$323,0))</f>
        <v>1</v>
      </c>
      <c r="N42" s="116">
        <f>IF(H42="Maruthi Plastics",INDEX('Master Data'!$B$202:$L$255,MATCH('Production Cost'!B42,'Master Data'!$B$202:$B$255,0),MATCH('Production Cost'!F42,'Master Data'!$B$202:$L$202,0)),INDEX('Master Data'!$B$261:$L$314,MATCH('Production Cost'!B42,'Master Data'!$B$261:$B$314,0),MATCH('Production Cost'!F42,'Master Data'!$B$261:$L$261,0)))</f>
        <v>0</v>
      </c>
      <c r="O42" s="115">
        <f t="shared" si="33"/>
        <v>1000</v>
      </c>
      <c r="P42" s="117" t="e">
        <f>+VLOOKUP($N42,'Master Data'!$B:$W,IF(G42="Wholesale",21,22),FALSE)</f>
        <v>#N/A</v>
      </c>
      <c r="Q42" s="164" t="e">
        <f t="shared" si="34"/>
        <v>#N/A</v>
      </c>
      <c r="R42" s="115">
        <f>IF(G42="Wholesale",'Master Data'!$V$127*$M42,'Master Data'!$W$127*$M42)</f>
        <v>2.2000000000000002</v>
      </c>
      <c r="S42" s="115">
        <f>IF(G42="Wholesale",'Master Data'!$V$111*$M42,'Master Data'!$W$111*$M42)</f>
        <v>3.0769230769230771</v>
      </c>
      <c r="T42" s="115">
        <f>IF(F42=1000,'Master Data'!$AF$40,IF(F42=500,'Master Data'!$AF$39,IF(F42=250,'Master Data'!$AF$39,'Master Data'!$AF$38)))</f>
        <v>11.116666666666667</v>
      </c>
      <c r="U42" s="117">
        <f>IF(F42=1000,VLOOKUP($E42,'Master Data'!$B:$W,IF(G42="Wholesale",21,22),FALSE),IF(F42=500,VLOOKUP($E42,'Master Data'!$B:$W,IF(G42="Wholesale",21,22),FALSE)/2,IF(F42=250,VLOOKUP($E42,'Master Data'!$B:$W,IF(G42="Wholesale",21,22),FALSE)/3,IF(F42=100,VLOOKUP($E42,'Master Data'!$B:$W,IF(G42="Wholesale",21,22),FALSE)/4,IF(F42=50,VLOOKUP($E42,'Master Data'!$B:$W,IF(G42="Wholesale",21,22),FALSE)/6,IF(F42=25,VLOOKUP($E42,'Master Data'!$B:$W,IF(G42="Wholesale",21,22),FALSE)/8,VLOOKUP($E42,'Master Data'!$B:$W,IF(G42="Wholesale",21,22),FALSE)/8))))))</f>
        <v>0</v>
      </c>
      <c r="V42" s="117">
        <f>+VLOOKUP($I42,'Master Data'!$B:$V,IF(G42="Wholesale",20,21),FALSE)</f>
        <v>40</v>
      </c>
      <c r="W42" s="144">
        <f>IF(F42=1000,'Master Data'!$AB$32,IF(F42=500,'Master Data'!$AB$33,IF(F42=250,'Master Data'!$AB$34,IF(F42=100,'Master Data'!$AB$35,IF(F42=50,'Master Data'!$AB$36,IF(F42=25,'Master Data'!$AB$37,'Master Data'!$AB$38))))))</f>
        <v>56.550000000000004</v>
      </c>
      <c r="X42" s="115" t="e">
        <f t="shared" si="35"/>
        <v>#N/A</v>
      </c>
      <c r="Y42" s="127" t="e">
        <f t="shared" si="4"/>
        <v>#N/A</v>
      </c>
      <c r="Z42" s="128" t="e">
        <f t="shared" si="36"/>
        <v>#N/A</v>
      </c>
      <c r="AA42" s="127" t="e">
        <f t="shared" si="37"/>
        <v>#N/A</v>
      </c>
      <c r="AB42" s="286" t="e">
        <f t="shared" si="6"/>
        <v>#N/A</v>
      </c>
      <c r="AC42" s="127" t="e">
        <f t="shared" si="7"/>
        <v>#N/A</v>
      </c>
      <c r="AD42" s="287" t="e">
        <f t="shared" si="8"/>
        <v>#N/A</v>
      </c>
    </row>
    <row r="43" spans="1:30" ht="30">
      <c r="A43" s="125">
        <f t="shared" si="9"/>
        <v>41</v>
      </c>
      <c r="B43" s="121" t="s">
        <v>206</v>
      </c>
      <c r="C43" s="121" t="s">
        <v>207</v>
      </c>
      <c r="D43" s="126" t="s">
        <v>292</v>
      </c>
      <c r="E43" s="116" t="s">
        <v>295</v>
      </c>
      <c r="F43" s="126">
        <v>1000</v>
      </c>
      <c r="G43" s="126" t="s">
        <v>312</v>
      </c>
      <c r="H43" s="126" t="s">
        <v>320</v>
      </c>
      <c r="I43" s="125" t="s">
        <v>371</v>
      </c>
      <c r="J43" s="116">
        <v>10</v>
      </c>
      <c r="K43" s="117">
        <f>IF(D43="In House Production",INDEX('Master Data'!$H$552:$J$580,MATCH('Production Cost'!B43,'Master Data'!$H$552:$H$580,0),3),VLOOKUP($B43,'Master Data'!$B:$W,IF(G43="Wholesale",21,22),FALSE))</f>
        <v>0.2314985569214324</v>
      </c>
      <c r="L43" s="115">
        <v>1</v>
      </c>
      <c r="M43" s="115">
        <f>INDEX('Master Data'!$B$323:$K$376,MATCH('Production Cost'!$B43,'Master Data'!$B$323:$B$376,0),MATCH('Production Cost'!F$3,'Master Data'!$B$323:$K$323,0))</f>
        <v>1</v>
      </c>
      <c r="N43" s="116" t="str">
        <f>IF(H43="Maruthi Plastics",INDEX('Master Data'!$B$202:$L$255,MATCH('Production Cost'!B43,'Master Data'!$B$202:$B$255,0),MATCH('Production Cost'!F43,'Master Data'!$B$202:$L$202,0)),INDEX('Master Data'!$B$261:$L$314,MATCH('Production Cost'!B43,'Master Data'!$B$261:$B$314,0),MATCH('Production Cost'!F43,'Master Data'!$B$261:$L$261,0)))</f>
        <v>Flat Bottom Pouches With Normal Zipper 1 kg</v>
      </c>
      <c r="O43" s="115">
        <f t="shared" si="33"/>
        <v>1000</v>
      </c>
      <c r="P43" s="117">
        <f>+VLOOKUP($N43,'Master Data'!$B:$W,IF(G43="Wholesale",21,22),FALSE)</f>
        <v>16.13</v>
      </c>
      <c r="Q43" s="164">
        <f t="shared" si="34"/>
        <v>16.13</v>
      </c>
      <c r="R43" s="115">
        <f>IF(G43="Wholesale",'Master Data'!$V$127*$M43,'Master Data'!$W$127*$M43)</f>
        <v>2.2000000000000002</v>
      </c>
      <c r="S43" s="115">
        <f>IF(G43="Wholesale",'Master Data'!$V$111*$M43,'Master Data'!$W$111*$M43)</f>
        <v>3.0769230769230771</v>
      </c>
      <c r="T43" s="115">
        <f>IF(F43=1000,'Master Data'!$AF$40,IF(F43=500,'Master Data'!$AF$39,IF(F43=250,'Master Data'!$AF$39,'Master Data'!$AF$38)))</f>
        <v>11.116666666666667</v>
      </c>
      <c r="U43" s="117">
        <f>IF(F43=1000,VLOOKUP($E43,'Master Data'!$B:$W,IF(G43="Wholesale",21,22),FALSE),IF(F43=500,VLOOKUP($E43,'Master Data'!$B:$W,IF(G43="Wholesale",21,22),FALSE)/2,IF(F43=250,VLOOKUP($E43,'Master Data'!$B:$W,IF(G43="Wholesale",21,22),FALSE)/3,IF(F43=100,VLOOKUP($E43,'Master Data'!$B:$W,IF(G43="Wholesale",21,22),FALSE)/4,IF(F43=50,VLOOKUP($E43,'Master Data'!$B:$W,IF(G43="Wholesale",21,22),FALSE)/6,IF(F43=25,VLOOKUP($E43,'Master Data'!$B:$W,IF(G43="Wholesale",21,22),FALSE)/8,VLOOKUP($E43,'Master Data'!$B:$W,IF(G43="Wholesale",21,22),FALSE)/8))))))</f>
        <v>0</v>
      </c>
      <c r="V43" s="117">
        <f>+VLOOKUP($I43,'Master Data'!$B:$V,IF(G43="Wholesale",20,21),FALSE)</f>
        <v>40</v>
      </c>
      <c r="W43" s="144">
        <f>IF(F43=1000,'Master Data'!$AB$32,IF(F43=500,'Master Data'!$AB$33,IF(F43=250,'Master Data'!$AB$34,IF(F43=100,'Master Data'!$AB$35,IF(F43=50,'Master Data'!$AB$36,IF(F43=25,'Master Data'!$AB$37,'Master Data'!$AB$38))))))</f>
        <v>56.550000000000004</v>
      </c>
      <c r="X43" s="115">
        <f t="shared" si="35"/>
        <v>25.290547999835546</v>
      </c>
      <c r="Y43" s="127">
        <f t="shared" si="4"/>
        <v>318.19602799819097</v>
      </c>
      <c r="Z43" s="128">
        <f t="shared" si="36"/>
        <v>318.19602799819097</v>
      </c>
      <c r="AA43" s="127">
        <f t="shared" si="37"/>
        <v>345.86269466485766</v>
      </c>
      <c r="AB43" s="286">
        <f t="shared" si="6"/>
        <v>26.402214666502211</v>
      </c>
      <c r="AC43" s="127">
        <f t="shared" si="7"/>
        <v>290.42436133152432</v>
      </c>
      <c r="AD43" s="287">
        <f t="shared" si="8"/>
        <v>435.63654199728649</v>
      </c>
    </row>
    <row r="44" spans="1:30" ht="30">
      <c r="A44" s="125">
        <f t="shared" si="9"/>
        <v>42</v>
      </c>
      <c r="B44" s="121" t="s">
        <v>208</v>
      </c>
      <c r="C44" s="120" t="s">
        <v>209</v>
      </c>
      <c r="D44" s="126" t="s">
        <v>292</v>
      </c>
      <c r="E44" s="116" t="s">
        <v>295</v>
      </c>
      <c r="F44" s="126">
        <v>1000</v>
      </c>
      <c r="G44" s="126" t="s">
        <v>312</v>
      </c>
      <c r="H44" s="126" t="s">
        <v>320</v>
      </c>
      <c r="I44" s="125" t="s">
        <v>371</v>
      </c>
      <c r="J44" s="116">
        <v>10</v>
      </c>
      <c r="K44" s="117">
        <f>IF(D44="In House Production",INDEX('Master Data'!$H$552:$J$580,MATCH('Production Cost'!B44,'Master Data'!$H$552:$H$580,0),3),VLOOKUP($B44,'Master Data'!$B:$W,IF(G44="Wholesale",21,22),FALSE))</f>
        <v>0.210837</v>
      </c>
      <c r="L44" s="115">
        <v>1</v>
      </c>
      <c r="M44" s="115">
        <f>INDEX('Master Data'!$B$323:$K$376,MATCH('Production Cost'!$B44,'Master Data'!$B$323:$B$376,0),MATCH('Production Cost'!F$3,'Master Data'!$B$323:$K$323,0))</f>
        <v>1</v>
      </c>
      <c r="N44" s="116" t="str">
        <f>IF(H44="Maruthi Plastics",INDEX('Master Data'!$B$202:$L$255,MATCH('Production Cost'!B44,'Master Data'!$B$202:$B$255,0),MATCH('Production Cost'!F44,'Master Data'!$B$202:$L$202,0)),INDEX('Master Data'!$B$261:$L$314,MATCH('Production Cost'!B44,'Master Data'!$B$261:$B$314,0),MATCH('Production Cost'!F44,'Master Data'!$B$261:$L$261,0)))</f>
        <v>Flat Bottom Pouches With Normal Zipper 1 kg</v>
      </c>
      <c r="O44" s="115">
        <f t="shared" si="33"/>
        <v>1000</v>
      </c>
      <c r="P44" s="117">
        <f>+VLOOKUP($N44,'Master Data'!$B:$W,IF(G44="Wholesale",21,22),FALSE)</f>
        <v>16.13</v>
      </c>
      <c r="Q44" s="164">
        <f t="shared" si="34"/>
        <v>16.13</v>
      </c>
      <c r="R44" s="115">
        <f>IF(G44="Wholesale",'Master Data'!$V$127*$M44,'Master Data'!$W$127*$M44)</f>
        <v>2.2000000000000002</v>
      </c>
      <c r="S44" s="115">
        <f>IF(G44="Wholesale",'Master Data'!$V$111*$M44,'Master Data'!$W$111*$M44)</f>
        <v>3.0769230769230771</v>
      </c>
      <c r="T44" s="115">
        <f>IF(F44=1000,'Master Data'!$AF$40,IF(F44=500,'Master Data'!$AF$39,IF(F44=250,'Master Data'!$AF$39,'Master Data'!$AF$38)))</f>
        <v>11.116666666666667</v>
      </c>
      <c r="U44" s="117">
        <f>IF(F44=1000,VLOOKUP($E44,'Master Data'!$B:$W,IF(G44="Wholesale",21,22),FALSE),IF(F44=500,VLOOKUP($E44,'Master Data'!$B:$W,IF(G44="Wholesale",21,22),FALSE)/2,IF(F44=250,VLOOKUP($E44,'Master Data'!$B:$W,IF(G44="Wholesale",21,22),FALSE)/3,IF(F44=100,VLOOKUP($E44,'Master Data'!$B:$W,IF(G44="Wholesale",21,22),FALSE)/4,IF(F44=50,VLOOKUP($E44,'Master Data'!$B:$W,IF(G44="Wholesale",21,22),FALSE)/6,IF(F44=25,VLOOKUP($E44,'Master Data'!$B:$W,IF(G44="Wholesale",21,22),FALSE)/8,VLOOKUP($E44,'Master Data'!$B:$W,IF(G44="Wholesale",21,22),FALSE)/8))))))</f>
        <v>0</v>
      </c>
      <c r="V44" s="117">
        <f>+VLOOKUP($I44,'Master Data'!$B:$V,IF(G44="Wholesale",20,21),FALSE)</f>
        <v>40</v>
      </c>
      <c r="W44" s="144">
        <f>IF(F44=1000,'Master Data'!$AB$32,IF(F44=500,'Master Data'!$AB$33,IF(F44=250,'Master Data'!$AB$34,IF(F44=100,'Master Data'!$AB$35,IF(F44=50,'Master Data'!$AB$36,IF(F44=25,'Master Data'!$AB$37,'Master Data'!$AB$38))))))</f>
        <v>56.550000000000004</v>
      </c>
      <c r="X44" s="115">
        <f t="shared" si="35"/>
        <v>23.224392307692305</v>
      </c>
      <c r="Y44" s="127">
        <f t="shared" si="4"/>
        <v>295.46831538461532</v>
      </c>
      <c r="Z44" s="128">
        <f t="shared" si="36"/>
        <v>295.46831538461532</v>
      </c>
      <c r="AA44" s="127">
        <f t="shared" si="37"/>
        <v>323.13498205128201</v>
      </c>
      <c r="AB44" s="286">
        <f t="shared" si="6"/>
        <v>24.336058974358973</v>
      </c>
      <c r="AC44" s="127">
        <f t="shared" si="7"/>
        <v>267.69664871794868</v>
      </c>
      <c r="AD44" s="287">
        <f t="shared" si="8"/>
        <v>401.54497307692304</v>
      </c>
    </row>
    <row r="45" spans="1:30" ht="30">
      <c r="A45" s="125">
        <f t="shared" si="9"/>
        <v>43</v>
      </c>
      <c r="B45" s="121" t="s">
        <v>210</v>
      </c>
      <c r="C45" s="121" t="s">
        <v>211</v>
      </c>
      <c r="D45" s="126" t="s">
        <v>292</v>
      </c>
      <c r="E45" s="116" t="s">
        <v>295</v>
      </c>
      <c r="F45" s="126">
        <v>1000</v>
      </c>
      <c r="G45" s="126" t="s">
        <v>312</v>
      </c>
      <c r="H45" s="126" t="s">
        <v>320</v>
      </c>
      <c r="I45" s="125" t="s">
        <v>371</v>
      </c>
      <c r="J45" s="116">
        <v>10</v>
      </c>
      <c r="K45" s="117">
        <f>IF(D45="In House Production",INDEX('Master Data'!$H$552:$J$580,MATCH('Production Cost'!B45,'Master Data'!$H$552:$H$580,0),3),VLOOKUP($B45,'Master Data'!$B:$W,IF(G45="Wholesale",21,22),FALSE))</f>
        <v>0.18899548201543614</v>
      </c>
      <c r="L45" s="115">
        <v>1</v>
      </c>
      <c r="M45" s="115">
        <f>INDEX('Master Data'!$B$323:$K$376,MATCH('Production Cost'!$B45,'Master Data'!$B$323:$B$376,0),MATCH('Production Cost'!F$3,'Master Data'!$B$323:$K$323,0))</f>
        <v>1</v>
      </c>
      <c r="N45" s="116" t="str">
        <f>IF(H45="Maruthi Plastics",INDEX('Master Data'!$B$202:$L$255,MATCH('Production Cost'!B45,'Master Data'!$B$202:$B$255,0),MATCH('Production Cost'!F45,'Master Data'!$B$202:$L$202,0)),INDEX('Master Data'!$B$261:$L$314,MATCH('Production Cost'!B45,'Master Data'!$B$261:$B$314,0),MATCH('Production Cost'!F45,'Master Data'!$B$261:$L$261,0)))</f>
        <v>Flat Bottom Pouches With Normal Zipper 1 kg</v>
      </c>
      <c r="O45" s="115">
        <f t="shared" si="33"/>
        <v>1000</v>
      </c>
      <c r="P45" s="117">
        <f>+VLOOKUP($N45,'Master Data'!$B:$W,IF(G45="Wholesale",21,22),FALSE)</f>
        <v>16.13</v>
      </c>
      <c r="Q45" s="164">
        <f t="shared" si="34"/>
        <v>16.13</v>
      </c>
      <c r="R45" s="115">
        <f>IF(G45="Wholesale",'Master Data'!$V$127*$M45,'Master Data'!$W$127*$M45)</f>
        <v>2.2000000000000002</v>
      </c>
      <c r="S45" s="115">
        <f>IF(G45="Wholesale",'Master Data'!$V$111*$M45,'Master Data'!$W$111*$M45)</f>
        <v>3.0769230769230771</v>
      </c>
      <c r="T45" s="115">
        <f>IF(F45=1000,'Master Data'!$AF$40,IF(F45=500,'Master Data'!$AF$39,IF(F45=250,'Master Data'!$AF$39,'Master Data'!$AF$38)))</f>
        <v>11.116666666666667</v>
      </c>
      <c r="U45" s="117">
        <f>IF(F45=1000,VLOOKUP($E45,'Master Data'!$B:$W,IF(G45="Wholesale",21,22),FALSE),IF(F45=500,VLOOKUP($E45,'Master Data'!$B:$W,IF(G45="Wholesale",21,22),FALSE)/2,IF(F45=250,VLOOKUP($E45,'Master Data'!$B:$W,IF(G45="Wholesale",21,22),FALSE)/3,IF(F45=100,VLOOKUP($E45,'Master Data'!$B:$W,IF(G45="Wholesale",21,22),FALSE)/4,IF(F45=50,VLOOKUP($E45,'Master Data'!$B:$W,IF(G45="Wholesale",21,22),FALSE)/6,IF(F45=25,VLOOKUP($E45,'Master Data'!$B:$W,IF(G45="Wholesale",21,22),FALSE)/8,VLOOKUP($E45,'Master Data'!$B:$W,IF(G45="Wholesale",21,22),FALSE)/8))))))</f>
        <v>0</v>
      </c>
      <c r="V45" s="117">
        <f>+VLOOKUP($I45,'Master Data'!$B:$V,IF(G45="Wholesale",20,21),FALSE)</f>
        <v>40</v>
      </c>
      <c r="W45" s="144">
        <f>IF(F45=1000,'Master Data'!$AB$32,IF(F45=500,'Master Data'!$AB$33,IF(F45=250,'Master Data'!$AB$34,IF(F45=100,'Master Data'!$AB$35,IF(F45=50,'Master Data'!$AB$36,IF(F45=25,'Master Data'!$AB$37,'Master Data'!$AB$38))))))</f>
        <v>56.550000000000004</v>
      </c>
      <c r="X45" s="115">
        <f t="shared" si="35"/>
        <v>21.040240509235922</v>
      </c>
      <c r="Y45" s="127">
        <f t="shared" si="4"/>
        <v>271.44264560159513</v>
      </c>
      <c r="Z45" s="128">
        <f t="shared" si="36"/>
        <v>271.44264560159513</v>
      </c>
      <c r="AA45" s="127">
        <f t="shared" si="37"/>
        <v>299.10931226826176</v>
      </c>
      <c r="AB45" s="286">
        <f t="shared" si="6"/>
        <v>22.15190717590259</v>
      </c>
      <c r="AC45" s="127">
        <f t="shared" si="7"/>
        <v>243.67097893492846</v>
      </c>
      <c r="AD45" s="287">
        <f t="shared" si="8"/>
        <v>365.50646840239267</v>
      </c>
    </row>
    <row r="46" spans="1:30" ht="30">
      <c r="A46" s="125">
        <f t="shared" si="9"/>
        <v>44</v>
      </c>
      <c r="B46" s="121" t="s">
        <v>212</v>
      </c>
      <c r="C46" s="121" t="s">
        <v>213</v>
      </c>
      <c r="D46" s="126" t="s">
        <v>292</v>
      </c>
      <c r="E46" s="116" t="s">
        <v>295</v>
      </c>
      <c r="F46" s="126">
        <v>1000</v>
      </c>
      <c r="G46" s="126" t="s">
        <v>312</v>
      </c>
      <c r="H46" s="126" t="s">
        <v>320</v>
      </c>
      <c r="I46" s="125" t="s">
        <v>371</v>
      </c>
      <c r="J46" s="116">
        <v>10</v>
      </c>
      <c r="K46" s="117">
        <f>IF(D46="In House Production",INDEX('Master Data'!$H$552:$J$580,MATCH('Production Cost'!B46,'Master Data'!$H$552:$H$580,0),3),VLOOKUP($B46,'Master Data'!$B:$W,IF(G46="Wholesale",21,22),FALSE))</f>
        <v>0.28101194061624651</v>
      </c>
      <c r="L46" s="115">
        <v>1</v>
      </c>
      <c r="M46" s="115">
        <f>INDEX('Master Data'!$B$323:$K$376,MATCH('Production Cost'!$B46,'Master Data'!$B$323:$B$376,0),MATCH('Production Cost'!F$3,'Master Data'!$B$323:$K$323,0))</f>
        <v>1</v>
      </c>
      <c r="N46" s="116" t="str">
        <f>IF(H46="Maruthi Plastics",INDEX('Master Data'!$B$202:$L$255,MATCH('Production Cost'!B46,'Master Data'!$B$202:$B$255,0),MATCH('Production Cost'!F46,'Master Data'!$B$202:$L$202,0)),INDEX('Master Data'!$B$261:$L$314,MATCH('Production Cost'!B46,'Master Data'!$B$261:$B$314,0),MATCH('Production Cost'!F46,'Master Data'!$B$261:$L$261,0)))</f>
        <v>Flat Bottom Pouches With Normal Zipper 1 kg</v>
      </c>
      <c r="O46" s="115">
        <f t="shared" si="33"/>
        <v>1000</v>
      </c>
      <c r="P46" s="117">
        <f>+VLOOKUP($N46,'Master Data'!$B:$W,IF(G46="Wholesale",21,22),FALSE)</f>
        <v>16.13</v>
      </c>
      <c r="Q46" s="164">
        <f t="shared" si="34"/>
        <v>16.13</v>
      </c>
      <c r="R46" s="115">
        <f>IF(G46="Wholesale",'Master Data'!$V$127*$M46,'Master Data'!$W$127*$M46)</f>
        <v>2.2000000000000002</v>
      </c>
      <c r="S46" s="115">
        <f>IF(G46="Wholesale",'Master Data'!$V$111*$M46,'Master Data'!$W$111*$M46)</f>
        <v>3.0769230769230771</v>
      </c>
      <c r="T46" s="115">
        <f>IF(F46=1000,'Master Data'!$AF$40,IF(F46=500,'Master Data'!$AF$39,IF(F46=250,'Master Data'!$AF$39,'Master Data'!$AF$38)))</f>
        <v>11.116666666666667</v>
      </c>
      <c r="U46" s="117">
        <f>IF(F46=1000,VLOOKUP($E46,'Master Data'!$B:$W,IF(G46="Wholesale",21,22),FALSE),IF(F46=500,VLOOKUP($E46,'Master Data'!$B:$W,IF(G46="Wholesale",21,22),FALSE)/2,IF(F46=250,VLOOKUP($E46,'Master Data'!$B:$W,IF(G46="Wholesale",21,22),FALSE)/3,IF(F46=100,VLOOKUP($E46,'Master Data'!$B:$W,IF(G46="Wholesale",21,22),FALSE)/4,IF(F46=50,VLOOKUP($E46,'Master Data'!$B:$W,IF(G46="Wholesale",21,22),FALSE)/6,IF(F46=25,VLOOKUP($E46,'Master Data'!$B:$W,IF(G46="Wholesale",21,22),FALSE)/8,VLOOKUP($E46,'Master Data'!$B:$W,IF(G46="Wholesale",21,22),FALSE)/8))))))</f>
        <v>0</v>
      </c>
      <c r="V46" s="117">
        <f>+VLOOKUP($I46,'Master Data'!$B:$V,IF(G46="Wholesale",20,21),FALSE)</f>
        <v>40</v>
      </c>
      <c r="W46" s="144">
        <f>IF(F46=1000,'Master Data'!$AB$32,IF(F46=500,'Master Data'!$AB$33,IF(F46=250,'Master Data'!$AB$34,IF(F46=100,'Master Data'!$AB$35,IF(F46=50,'Master Data'!$AB$36,IF(F46=25,'Master Data'!$AB$37,'Master Data'!$AB$38))))))</f>
        <v>56.550000000000004</v>
      </c>
      <c r="X46" s="115">
        <f t="shared" si="35"/>
        <v>30.241886369316962</v>
      </c>
      <c r="Y46" s="127">
        <f t="shared" si="4"/>
        <v>372.66075006248656</v>
      </c>
      <c r="Z46" s="128">
        <f t="shared" si="36"/>
        <v>372.66075006248656</v>
      </c>
      <c r="AA46" s="127">
        <f t="shared" si="37"/>
        <v>400.32741672915324</v>
      </c>
      <c r="AB46" s="286">
        <f t="shared" si="6"/>
        <v>31.35355303598363</v>
      </c>
      <c r="AC46" s="127">
        <f t="shared" si="7"/>
        <v>344.88908339581991</v>
      </c>
      <c r="AD46" s="287">
        <f t="shared" si="8"/>
        <v>517.33362509372989</v>
      </c>
    </row>
    <row r="47" spans="1:30" ht="30">
      <c r="A47" s="125">
        <f t="shared" si="9"/>
        <v>45</v>
      </c>
      <c r="B47" s="121" t="s">
        <v>214</v>
      </c>
      <c r="C47" s="121" t="s">
        <v>215</v>
      </c>
      <c r="D47" s="126" t="s">
        <v>292</v>
      </c>
      <c r="E47" s="116" t="s">
        <v>295</v>
      </c>
      <c r="F47" s="126">
        <v>1000</v>
      </c>
      <c r="G47" s="126" t="s">
        <v>312</v>
      </c>
      <c r="H47" s="126" t="s">
        <v>320</v>
      </c>
      <c r="I47" s="125" t="s">
        <v>371</v>
      </c>
      <c r="J47" s="116">
        <v>10</v>
      </c>
      <c r="K47" s="117">
        <f>IF(D47="In House Production",INDEX('Master Data'!$H$552:$J$580,MATCH('Production Cost'!B47,'Master Data'!$H$552:$H$580,0),3),VLOOKUP($B47,'Master Data'!$B:$W,IF(G47="Wholesale",21,22),FALSE))</f>
        <v>0.12519</v>
      </c>
      <c r="L47" s="115">
        <v>1</v>
      </c>
      <c r="M47" s="115">
        <f>INDEX('Master Data'!$B$323:$K$376,MATCH('Production Cost'!$B47,'Master Data'!$B$323:$B$376,0),MATCH('Production Cost'!F$3,'Master Data'!$B$323:$K$323,0))</f>
        <v>1</v>
      </c>
      <c r="N47" s="116" t="str">
        <f>IF(H47="Maruthi Plastics",INDEX('Master Data'!$B$202:$L$255,MATCH('Production Cost'!B47,'Master Data'!$B$202:$B$255,0),MATCH('Production Cost'!F47,'Master Data'!$B$202:$L$202,0)),INDEX('Master Data'!$B$261:$L$314,MATCH('Production Cost'!B47,'Master Data'!$B$261:$B$314,0),MATCH('Production Cost'!F47,'Master Data'!$B$261:$L$261,0)))</f>
        <v>Flat Bottom Pouches With Normal Zipper 1 kg</v>
      </c>
      <c r="O47" s="115">
        <f t="shared" si="33"/>
        <v>1000</v>
      </c>
      <c r="P47" s="117">
        <f>+VLOOKUP($N47,'Master Data'!$B:$W,IF(G47="Wholesale",21,22),FALSE)</f>
        <v>16.13</v>
      </c>
      <c r="Q47" s="164">
        <f t="shared" si="34"/>
        <v>16.13</v>
      </c>
      <c r="R47" s="115">
        <f>IF(G47="Wholesale",'Master Data'!$V$127*$M47,'Master Data'!$W$127*$M47)</f>
        <v>2.2000000000000002</v>
      </c>
      <c r="S47" s="115">
        <f>IF(G47="Wholesale",'Master Data'!$V$111*$M47,'Master Data'!$W$111*$M47)</f>
        <v>3.0769230769230771</v>
      </c>
      <c r="T47" s="115">
        <f>IF(F47=1000,'Master Data'!$AF$40,IF(F47=500,'Master Data'!$AF$39,IF(F47=250,'Master Data'!$AF$39,'Master Data'!$AF$38)))</f>
        <v>11.116666666666667</v>
      </c>
      <c r="U47" s="117">
        <f>IF(F47=1000,VLOOKUP($E47,'Master Data'!$B:$W,IF(G47="Wholesale",21,22),FALSE),IF(F47=500,VLOOKUP($E47,'Master Data'!$B:$W,IF(G47="Wholesale",21,22),FALSE)/2,IF(F47=250,VLOOKUP($E47,'Master Data'!$B:$W,IF(G47="Wholesale",21,22),FALSE)/3,IF(F47=100,VLOOKUP($E47,'Master Data'!$B:$W,IF(G47="Wholesale",21,22),FALSE)/4,IF(F47=50,VLOOKUP($E47,'Master Data'!$B:$W,IF(G47="Wholesale",21,22),FALSE)/6,IF(F47=25,VLOOKUP($E47,'Master Data'!$B:$W,IF(G47="Wholesale",21,22),FALSE)/8,VLOOKUP($E47,'Master Data'!$B:$W,IF(G47="Wholesale",21,22),FALSE)/8))))))</f>
        <v>0</v>
      </c>
      <c r="V47" s="117">
        <f>+VLOOKUP($I47,'Master Data'!$B:$V,IF(G47="Wholesale",20,21),FALSE)</f>
        <v>40</v>
      </c>
      <c r="W47" s="144">
        <f>IF(F47=1000,'Master Data'!$AB$32,IF(F47=500,'Master Data'!$AB$33,IF(F47=250,'Master Data'!$AB$34,IF(F47=100,'Master Data'!$AB$35,IF(F47=50,'Master Data'!$AB$36,IF(F47=25,'Master Data'!$AB$37,'Master Data'!$AB$38))))))</f>
        <v>56.550000000000004</v>
      </c>
      <c r="X47" s="115">
        <f t="shared" si="35"/>
        <v>14.659692307692305</v>
      </c>
      <c r="Y47" s="127">
        <f t="shared" si="4"/>
        <v>201.25661538461534</v>
      </c>
      <c r="Z47" s="128">
        <f t="shared" si="36"/>
        <v>201.25661538461534</v>
      </c>
      <c r="AA47" s="127">
        <f t="shared" si="37"/>
        <v>228.92328205128203</v>
      </c>
      <c r="AB47" s="286">
        <f t="shared" si="6"/>
        <v>15.771358974358973</v>
      </c>
      <c r="AC47" s="127">
        <f t="shared" si="7"/>
        <v>173.4849487179487</v>
      </c>
      <c r="AD47" s="287">
        <f t="shared" si="8"/>
        <v>260.22742307692306</v>
      </c>
    </row>
    <row r="48" spans="1:30" ht="41" customHeight="1">
      <c r="A48" s="125">
        <f t="shared" si="9"/>
        <v>46</v>
      </c>
      <c r="B48" s="121" t="s">
        <v>18</v>
      </c>
      <c r="C48" s="122" t="s">
        <v>216</v>
      </c>
      <c r="D48" s="126" t="s">
        <v>292</v>
      </c>
      <c r="E48" s="116" t="s">
        <v>295</v>
      </c>
      <c r="F48" s="126">
        <v>1000</v>
      </c>
      <c r="G48" s="126" t="s">
        <v>312</v>
      </c>
      <c r="H48" s="126" t="s">
        <v>320</v>
      </c>
      <c r="I48" s="125" t="s">
        <v>371</v>
      </c>
      <c r="J48" s="116">
        <v>10</v>
      </c>
      <c r="K48" s="117">
        <f>IF(D48="In House Production",INDEX('Master Data'!$H$552:$J$580,MATCH('Production Cost'!B48,'Master Data'!$H$552:$H$580,0),3),VLOOKUP($B48,'Master Data'!$B:$W,IF(G48="Wholesale",21,22),FALSE))</f>
        <v>0.5714149818709211</v>
      </c>
      <c r="L48" s="115">
        <v>1</v>
      </c>
      <c r="M48" s="115">
        <f>INDEX('Master Data'!$B$323:$K$376,MATCH('Production Cost'!$B48,'Master Data'!$B$323:$B$376,0),MATCH('Production Cost'!F$3,'Master Data'!$B$323:$K$323,0))</f>
        <v>1</v>
      </c>
      <c r="N48" s="116" t="str">
        <f>IF(H48="Maruthi Plastics",INDEX('Master Data'!$B$202:$L$255,MATCH('Production Cost'!B48,'Master Data'!$B$202:$B$255,0),MATCH('Production Cost'!F48,'Master Data'!$B$202:$L$202,0)),INDEX('Master Data'!$B$261:$L$314,MATCH('Production Cost'!B48,'Master Data'!$B$261:$B$314,0),MATCH('Production Cost'!F48,'Master Data'!$B$261:$L$261,0)))</f>
        <v>Flat Bottom Pouches With Normal Zipper 1 kg</v>
      </c>
      <c r="O48" s="115">
        <f t="shared" si="33"/>
        <v>1000</v>
      </c>
      <c r="P48" s="117">
        <f>+VLOOKUP($N48,'Master Data'!$B:$W,IF(G48="Wholesale",21,22),FALSE)</f>
        <v>16.13</v>
      </c>
      <c r="Q48" s="164">
        <f t="shared" si="34"/>
        <v>16.13</v>
      </c>
      <c r="R48" s="115">
        <f>IF(G48="Wholesale",'Master Data'!$V$127*$M48,'Master Data'!$W$127*$M48)</f>
        <v>2.2000000000000002</v>
      </c>
      <c r="S48" s="115">
        <f>IF(G48="Wholesale",'Master Data'!$V$111*$M48,'Master Data'!$W$111*$M48)</f>
        <v>3.0769230769230771</v>
      </c>
      <c r="T48" s="115">
        <f>IF(F48=1000,'Master Data'!$AF$40,IF(F48=500,'Master Data'!$AF$39,IF(F48=250,'Master Data'!$AF$39,'Master Data'!$AF$38)))</f>
        <v>11.116666666666667</v>
      </c>
      <c r="U48" s="117">
        <f>IF(F48=1000,VLOOKUP($E48,'Master Data'!$B:$W,IF(G48="Wholesale",21,22),FALSE),IF(F48=500,VLOOKUP($E48,'Master Data'!$B:$W,IF(G48="Wholesale",21,22),FALSE)/2,IF(F48=250,VLOOKUP($E48,'Master Data'!$B:$W,IF(G48="Wholesale",21,22),FALSE)/3,IF(F48=100,VLOOKUP($E48,'Master Data'!$B:$W,IF(G48="Wholesale",21,22),FALSE)/4,IF(F48=50,VLOOKUP($E48,'Master Data'!$B:$W,IF(G48="Wholesale",21,22),FALSE)/6,IF(F48=25,VLOOKUP($E48,'Master Data'!$B:$W,IF(G48="Wholesale",21,22),FALSE)/8,VLOOKUP($E48,'Master Data'!$B:$W,IF(G48="Wholesale",21,22),FALSE)/8))))))</f>
        <v>0</v>
      </c>
      <c r="V48" s="117">
        <f>+VLOOKUP($I48,'Master Data'!$B:$V,IF(G48="Wholesale",20,21),FALSE)</f>
        <v>40</v>
      </c>
      <c r="W48" s="144">
        <f>IF(F48=1000,'Master Data'!$AB$32,IF(F48=500,'Master Data'!$AB$33,IF(F48=250,'Master Data'!$AB$34,IF(F48=100,'Master Data'!$AB$35,IF(F48=50,'Master Data'!$AB$36,IF(F48=25,'Master Data'!$AB$37,'Master Data'!$AB$38))))))</f>
        <v>56.550000000000004</v>
      </c>
      <c r="X48" s="115">
        <f t="shared" si="35"/>
        <v>59.28219049478443</v>
      </c>
      <c r="Y48" s="127">
        <f t="shared" si="4"/>
        <v>692.1040954426287</v>
      </c>
      <c r="Z48" s="128">
        <f t="shared" si="36"/>
        <v>692.1040954426287</v>
      </c>
      <c r="AA48" s="127">
        <f t="shared" si="37"/>
        <v>719.77076210929533</v>
      </c>
      <c r="AB48" s="286">
        <f t="shared" si="6"/>
        <v>60.393857161451095</v>
      </c>
      <c r="AC48" s="127">
        <f t="shared" si="7"/>
        <v>664.33242877596206</v>
      </c>
      <c r="AD48" s="287">
        <f t="shared" si="8"/>
        <v>996.49864316394314</v>
      </c>
    </row>
    <row r="49" spans="1:30" ht="41" customHeight="1">
      <c r="A49" s="125">
        <f t="shared" si="9"/>
        <v>47</v>
      </c>
      <c r="B49" s="121" t="s">
        <v>553</v>
      </c>
      <c r="C49" s="122"/>
      <c r="D49" s="126" t="str">
        <f>+VLOOKUP($B49,'Master Data'!$B$20:$W$197,2,FALSE)</f>
        <v>SMR</v>
      </c>
      <c r="E49" s="116" t="s">
        <v>295</v>
      </c>
      <c r="F49" s="126">
        <v>1000</v>
      </c>
      <c r="G49" s="126" t="s">
        <v>312</v>
      </c>
      <c r="H49" s="126" t="s">
        <v>320</v>
      </c>
      <c r="I49" s="125" t="s">
        <v>371</v>
      </c>
      <c r="J49" s="116">
        <v>11</v>
      </c>
      <c r="K49" s="117">
        <f>IF(D49="In House Production",INDEX('Master Data'!$H$552:$J$580,MATCH('Production Cost'!B49,'Master Data'!$H$552:$H$580,0),3),VLOOKUP($B49,'Master Data'!$B:$W,IF(G49="Wholesale",21,22),FALSE))</f>
        <v>0.32200000000000001</v>
      </c>
      <c r="L49" s="115">
        <v>2</v>
      </c>
      <c r="M49" s="115">
        <f>INDEX('Master Data'!$B$323:$K$376,MATCH('Production Cost'!$B49,'Master Data'!$B$323:$B$376,0),MATCH('Production Cost'!F$3,'Master Data'!$B$323:$K$323,0))</f>
        <v>4</v>
      </c>
      <c r="N49" s="116" t="str">
        <f>IF(H49="Maruthi Plastics",INDEX('Master Data'!$B$202:$L$255,MATCH('Production Cost'!B49,'Master Data'!$B$202:$B$255,0),MATCH('Production Cost'!F49,'Master Data'!$B$202:$L$202,0)),INDEX('Master Data'!$B$261:$L$314,MATCH('Production Cost'!B49,'Master Data'!$B$261:$B$314,0),MATCH('Production Cost'!F49,'Master Data'!$B$261:$L$261,0)))</f>
        <v>Foil Stand Up Pouches 70 g</v>
      </c>
      <c r="O49" s="115">
        <f t="shared" ref="O49" si="38">1000/L49</f>
        <v>500</v>
      </c>
      <c r="P49" s="117">
        <f>+VLOOKUP($N49,'Master Data'!$B:$W,IF(G49="Wholesale",21,22),FALSE)</f>
        <v>4.2270000000000003</v>
      </c>
      <c r="Q49" s="164">
        <f t="shared" ref="Q49" si="39">+P49*M49</f>
        <v>16.908000000000001</v>
      </c>
      <c r="R49" s="115">
        <f>IF(G49="Wholesale",'Master Data'!$V$127*$M49,'Master Data'!$W$127*$M49)</f>
        <v>8.8000000000000007</v>
      </c>
      <c r="S49" s="115">
        <f>IF(G49="Wholesale",'Master Data'!$V$111*$M49,'Master Data'!$W$111*$M49)</f>
        <v>12.307692307692308</v>
      </c>
      <c r="T49" s="115">
        <f>IF(F49=1000,'Master Data'!$AF$40,IF(F49=500,'Master Data'!$AF$39,IF(F49=250,'Master Data'!$AF$39,'Master Data'!$AF$38)))</f>
        <v>11.116666666666667</v>
      </c>
      <c r="U49" s="117">
        <f>IF(F49=1000,VLOOKUP($E49,'Master Data'!$B:$W,IF(G49="Wholesale",21,22),FALSE),IF(F49=500,VLOOKUP($E49,'Master Data'!$B:$W,IF(G49="Wholesale",21,22),FALSE)/2,IF(F49=250,VLOOKUP($E49,'Master Data'!$B:$W,IF(G49="Wholesale",21,22),FALSE)/3,IF(F49=100,VLOOKUP($E49,'Master Data'!$B:$W,IF(G49="Wholesale",21,22),FALSE)/4,IF(F49=50,VLOOKUP($E49,'Master Data'!$B:$W,IF(G49="Wholesale",21,22),FALSE)/6,IF(F49=25,VLOOKUP($E49,'Master Data'!$B:$W,IF(G49="Wholesale",21,22),FALSE)/8,VLOOKUP($E49,'Master Data'!$B:$W,IF(G49="Wholesale",21,22),FALSE)/8))))))</f>
        <v>0</v>
      </c>
      <c r="V49" s="117">
        <f>+VLOOKUP($I49,'Master Data'!$B:$V,IF(G49="Wholesale",20,21),FALSE)</f>
        <v>40</v>
      </c>
      <c r="W49" s="144">
        <f>IF(F49=1000,'Master Data'!$AB$32,IF(F49=500,'Master Data'!$AB$33,IF(F49=250,'Master Data'!$AB$34,IF(F49=100,'Master Data'!$AB$35,IF(F49=50,'Master Data'!$AB$36,IF(F49=25,'Master Data'!$AB$37,'Master Data'!$AB$38))))))</f>
        <v>56.550000000000004</v>
      </c>
      <c r="X49" s="115">
        <f t="shared" ref="X49" si="40">+((K49*F49)+$Q49+$R49+$U49+S49)*($J49/100)</f>
        <v>39.601726153846158</v>
      </c>
      <c r="Y49" s="127">
        <f t="shared" ref="Y49" si="41">+(F49*K49)+Q49+R49+S49+U49+(IF(F49=1000,V49,IF(F49=500,V49/2,IF(F49=250,V49/4,IF(F49=100,V49/10,IF(F49=50,V49/20,V49/40)))))+X49)</f>
        <v>439.61741846153848</v>
      </c>
      <c r="Z49" s="128">
        <f t="shared" ref="Z49" si="42">+Y49/L49</f>
        <v>219.80870923076924</v>
      </c>
      <c r="AA49" s="127">
        <f t="shared" ref="AA49" si="43">(F49*K49)+Q49+R49+S49+T49+U49+W49+X49</f>
        <v>467.28408512820522</v>
      </c>
      <c r="AB49" s="286">
        <f t="shared" ref="AB49" si="44">+((K49*F49)+$Q49+$R49+$U49+$S49+$T49)*($J49/100)</f>
        <v>40.824559487179492</v>
      </c>
      <c r="AC49" s="127">
        <f t="shared" ref="AC49" si="45">(F49*K49)+Q49+R49+S49+T49+U49+AB49</f>
        <v>411.95691846153852</v>
      </c>
      <c r="AD49" s="287">
        <f t="shared" ref="AD49" si="46">AC49*1.5</f>
        <v>617.93537769230784</v>
      </c>
    </row>
    <row r="50" spans="1:30" ht="30">
      <c r="A50" s="125">
        <f t="shared" si="9"/>
        <v>48</v>
      </c>
      <c r="B50" s="121" t="s">
        <v>217</v>
      </c>
      <c r="C50" s="121" t="s">
        <v>218</v>
      </c>
      <c r="D50" s="126" t="str">
        <f>+VLOOKUP($B50,'Master Data'!$B$20:$W$197,2,FALSE)</f>
        <v>SMR</v>
      </c>
      <c r="E50" s="116" t="s">
        <v>295</v>
      </c>
      <c r="F50" s="126">
        <v>1000</v>
      </c>
      <c r="G50" s="126" t="s">
        <v>312</v>
      </c>
      <c r="H50" s="126" t="s">
        <v>320</v>
      </c>
      <c r="I50" s="125" t="s">
        <v>371</v>
      </c>
      <c r="J50" s="116">
        <v>10</v>
      </c>
      <c r="K50" s="117">
        <f>IF(D50="In House Production",INDEX('Master Data'!$H$552:$J$580,MATCH('Production Cost'!B50,'Master Data'!$H$552:$H$580,0),3),VLOOKUP($B50,'Master Data'!$B:$W,IF(G50="Wholesale",21,22),FALSE))</f>
        <v>0.32200000000000001</v>
      </c>
      <c r="L50" s="115">
        <v>1</v>
      </c>
      <c r="M50" s="115">
        <f>INDEX('Master Data'!$B$323:$K$376,MATCH('Production Cost'!$B50,'Master Data'!$B$323:$B$376,0),MATCH('Production Cost'!F$3,'Master Data'!$B$323:$K$323,0))</f>
        <v>4</v>
      </c>
      <c r="N50" s="116" t="str">
        <f>IF(H50="Maruthi Plastics",INDEX('Master Data'!$B$202:$L$255,MATCH('Production Cost'!B50,'Master Data'!$B$202:$B$255,0),MATCH('Production Cost'!F50,'Master Data'!$B$202:$L$202,0)),INDEX('Master Data'!$B$261:$L$314,MATCH('Production Cost'!B50,'Master Data'!$B$261:$B$314,0),MATCH('Production Cost'!F50,'Master Data'!$B$261:$L$261,0)))</f>
        <v>Foil Stand Up Pouches 70 g</v>
      </c>
      <c r="O50" s="115">
        <f t="shared" si="33"/>
        <v>1000</v>
      </c>
      <c r="P50" s="117">
        <f>+VLOOKUP($N50,'Master Data'!$B:$W,IF(G50="Wholesale",21,22),FALSE)</f>
        <v>4.2270000000000003</v>
      </c>
      <c r="Q50" s="164">
        <f t="shared" si="34"/>
        <v>16.908000000000001</v>
      </c>
      <c r="R50" s="115">
        <f>IF(G50="Wholesale",'Master Data'!$V$127*$M50,'Master Data'!$W$127*$M50)</f>
        <v>8.8000000000000007</v>
      </c>
      <c r="S50" s="115">
        <f>IF(G50="Wholesale",'Master Data'!$V$111*$M50,'Master Data'!$W$111*$M50)</f>
        <v>12.307692307692308</v>
      </c>
      <c r="T50" s="115">
        <f>IF(F50=1000,'Master Data'!$AF$40,IF(F50=500,'Master Data'!$AF$39,IF(F50=250,'Master Data'!$AF$39,'Master Data'!$AF$38)))</f>
        <v>11.116666666666667</v>
      </c>
      <c r="U50" s="117">
        <f>IF(F50=1000,VLOOKUP($E50,'Master Data'!$B:$W,IF(G50="Wholesale",21,22),FALSE),IF(F50=500,VLOOKUP($E50,'Master Data'!$B:$W,IF(G50="Wholesale",21,22),FALSE)/2,IF(F50=250,VLOOKUP($E50,'Master Data'!$B:$W,IF(G50="Wholesale",21,22),FALSE)/3,IF(F50=100,VLOOKUP($E50,'Master Data'!$B:$W,IF(G50="Wholesale",21,22),FALSE)/4,IF(F50=50,VLOOKUP($E50,'Master Data'!$B:$W,IF(G50="Wholesale",21,22),FALSE)/6,IF(F50=25,VLOOKUP($E50,'Master Data'!$B:$W,IF(G50="Wholesale",21,22),FALSE)/8,VLOOKUP($E50,'Master Data'!$B:$W,IF(G50="Wholesale",21,22),FALSE)/8))))))</f>
        <v>0</v>
      </c>
      <c r="V50" s="117">
        <f>+VLOOKUP($I50,'Master Data'!$B:$V,IF(G50="Wholesale",20,21),FALSE)</f>
        <v>40</v>
      </c>
      <c r="W50" s="144">
        <f>IF(F50=1000,'Master Data'!$AB$32,IF(F50=500,'Master Data'!$AB$33,IF(F50=250,'Master Data'!$AB$34,IF(F50=100,'Master Data'!$AB$35,IF(F50=50,'Master Data'!$AB$36,IF(F50=25,'Master Data'!$AB$37,'Master Data'!$AB$38))))))</f>
        <v>56.550000000000004</v>
      </c>
      <c r="X50" s="115">
        <f t="shared" si="35"/>
        <v>36.001569230769235</v>
      </c>
      <c r="Y50" s="127">
        <f t="shared" si="4"/>
        <v>436.01726153846158</v>
      </c>
      <c r="Z50" s="128">
        <f t="shared" si="36"/>
        <v>436.01726153846158</v>
      </c>
      <c r="AA50" s="127">
        <f t="shared" si="37"/>
        <v>463.68392820512827</v>
      </c>
      <c r="AB50" s="286">
        <f t="shared" si="6"/>
        <v>37.113235897435906</v>
      </c>
      <c r="AC50" s="127">
        <f t="shared" si="7"/>
        <v>408.24559487179494</v>
      </c>
      <c r="AD50" s="287">
        <f t="shared" si="8"/>
        <v>612.36839230769237</v>
      </c>
    </row>
    <row r="51" spans="1:30" ht="30">
      <c r="A51" s="125">
        <f t="shared" si="9"/>
        <v>49</v>
      </c>
      <c r="B51" s="121" t="s">
        <v>270</v>
      </c>
      <c r="C51" s="121" t="s">
        <v>271</v>
      </c>
      <c r="D51" s="126" t="str">
        <f>+VLOOKUP($B51,'Master Data'!$B$20:$W$197,2,FALSE)</f>
        <v>Amazon</v>
      </c>
      <c r="E51" s="116" t="s">
        <v>295</v>
      </c>
      <c r="F51" s="126">
        <v>1000</v>
      </c>
      <c r="G51" s="126" t="s">
        <v>312</v>
      </c>
      <c r="H51" s="126" t="s">
        <v>320</v>
      </c>
      <c r="I51" s="125" t="s">
        <v>371</v>
      </c>
      <c r="J51" s="116">
        <v>10</v>
      </c>
      <c r="K51" s="117">
        <f>IF(D51="In House Production",INDEX('Master Data'!$H$552:$J$580,MATCH('Production Cost'!B51,'Master Data'!$H$552:$H$580,0),3),VLOOKUP($B51,'Master Data'!$B:$W,IF(G51="Wholesale",21,22),FALSE))</f>
        <v>1.07</v>
      </c>
      <c r="L51" s="115">
        <v>1</v>
      </c>
      <c r="M51" s="115">
        <f>INDEX('Master Data'!$B$323:$K$376,MATCH('Production Cost'!$B51,'Master Data'!$B$323:$B$376,0),MATCH('Production Cost'!F$3,'Master Data'!$B$323:$K$323,0))</f>
        <v>2</v>
      </c>
      <c r="N51" s="116" t="str">
        <f>IF(H51="Maruthi Plastics",INDEX('Master Data'!$B$202:$L$255,MATCH('Production Cost'!B51,'Master Data'!$B$202:$B$255,0),MATCH('Production Cost'!F51,'Master Data'!$B$202:$L$202,0)),INDEX('Master Data'!$B$261:$L$314,MATCH('Production Cost'!B51,'Master Data'!$B$261:$B$314,0),MATCH('Production Cost'!F51,'Master Data'!$B$261:$L$261,0)))</f>
        <v>One side Transparent Flat Bottom with Zipper (1000Gm)</v>
      </c>
      <c r="O51" s="115">
        <f t="shared" si="33"/>
        <v>1000</v>
      </c>
      <c r="P51" s="117">
        <f>+VLOOKUP($N51,'Master Data'!$B:$W,IF(G51="Wholesale",21,22),FALSE)</f>
        <v>11.94</v>
      </c>
      <c r="Q51" s="164">
        <f t="shared" si="34"/>
        <v>23.88</v>
      </c>
      <c r="R51" s="115">
        <f>IF(G51="Wholesale",'Master Data'!$V$127*$M51,'Master Data'!$W$127*$M51)</f>
        <v>4.4000000000000004</v>
      </c>
      <c r="S51" s="115">
        <f>IF(G51="Wholesale",'Master Data'!$V$111*$M51,'Master Data'!$W$111*$M51)</f>
        <v>6.1538461538461542</v>
      </c>
      <c r="T51" s="115">
        <f>IF(F51=1000,'Master Data'!$AF$40,IF(F51=500,'Master Data'!$AF$39,IF(F51=250,'Master Data'!$AF$39,'Master Data'!$AF$38)))</f>
        <v>11.116666666666667</v>
      </c>
      <c r="U51" s="117">
        <f>IF(F51=1000,VLOOKUP($E51,'Master Data'!$B:$W,IF(G51="Wholesale",21,22),FALSE),IF(F51=500,VLOOKUP($E51,'Master Data'!$B:$W,IF(G51="Wholesale",21,22),FALSE)/2,IF(F51=250,VLOOKUP($E51,'Master Data'!$B:$W,IF(G51="Wholesale",21,22),FALSE)/3,IF(F51=100,VLOOKUP($E51,'Master Data'!$B:$W,IF(G51="Wholesale",21,22),FALSE)/4,IF(F51=50,VLOOKUP($E51,'Master Data'!$B:$W,IF(G51="Wholesale",21,22),FALSE)/6,IF(F51=25,VLOOKUP($E51,'Master Data'!$B:$W,IF(G51="Wholesale",21,22),FALSE)/8,VLOOKUP($E51,'Master Data'!$B:$W,IF(G51="Wholesale",21,22),FALSE)/8))))))</f>
        <v>0</v>
      </c>
      <c r="V51" s="117">
        <f>+VLOOKUP($I51,'Master Data'!$B:$V,IF(G51="Wholesale",20,21),FALSE)</f>
        <v>40</v>
      </c>
      <c r="W51" s="144">
        <f>IF(F51=1000,'Master Data'!$AB$32,IF(F51=500,'Master Data'!$AB$33,IF(F51=250,'Master Data'!$AB$34,IF(F51=100,'Master Data'!$AB$35,IF(F51=50,'Master Data'!$AB$36,IF(F51=25,'Master Data'!$AB$37,'Master Data'!$AB$38))))))</f>
        <v>56.550000000000004</v>
      </c>
      <c r="X51" s="115">
        <f t="shared" si="35"/>
        <v>110.44338461538464</v>
      </c>
      <c r="Y51" s="127">
        <f t="shared" si="4"/>
        <v>1254.8772307692311</v>
      </c>
      <c r="Z51" s="128">
        <f t="shared" si="36"/>
        <v>1254.8772307692311</v>
      </c>
      <c r="AA51" s="127">
        <f t="shared" si="37"/>
        <v>1282.5438974358976</v>
      </c>
      <c r="AB51" s="286">
        <f t="shared" si="6"/>
        <v>111.55505128205129</v>
      </c>
      <c r="AC51" s="127">
        <f t="shared" si="7"/>
        <v>1227.1055641025641</v>
      </c>
      <c r="AD51" s="287">
        <f t="shared" si="8"/>
        <v>1840.6583461538462</v>
      </c>
    </row>
    <row r="52" spans="1:30" ht="30">
      <c r="A52" s="125">
        <f t="shared" si="9"/>
        <v>50</v>
      </c>
      <c r="B52" s="121" t="s">
        <v>272</v>
      </c>
      <c r="C52" s="121" t="s">
        <v>273</v>
      </c>
      <c r="D52" s="126" t="str">
        <f>+VLOOKUP($B52,'Master Data'!$B$20:$W$197,2,FALSE)</f>
        <v>Chandan Enterprise</v>
      </c>
      <c r="E52" s="116" t="s">
        <v>295</v>
      </c>
      <c r="F52" s="126">
        <v>1000</v>
      </c>
      <c r="G52" s="126" t="s">
        <v>312</v>
      </c>
      <c r="H52" s="126" t="s">
        <v>320</v>
      </c>
      <c r="I52" s="125" t="s">
        <v>371</v>
      </c>
      <c r="J52" s="116">
        <v>10</v>
      </c>
      <c r="K52" s="117">
        <f>IF(D52="In House Production",INDEX('Master Data'!$H$552:$J$580,MATCH('Production Cost'!B52,'Master Data'!$H$552:$H$580,0),3),VLOOKUP($B52,'Master Data'!$B:$W,IF(G52="Wholesale",21,22),FALSE))</f>
        <v>1.4135238095238094</v>
      </c>
      <c r="L52" s="115">
        <v>1</v>
      </c>
      <c r="M52" s="115">
        <f>INDEX('Master Data'!$B$323:$K$376,MATCH('Production Cost'!$B52,'Master Data'!$B$323:$B$376,0),MATCH('Production Cost'!F$3,'Master Data'!$B$323:$K$323,0))</f>
        <v>1</v>
      </c>
      <c r="N52" s="116" t="str">
        <f>IF(H52="Maruthi Plastics",INDEX('Master Data'!$B$202:$L$255,MATCH('Production Cost'!B52,'Master Data'!$B$202:$B$255,0),MATCH('Production Cost'!F52,'Master Data'!$B$202:$L$202,0)),INDEX('Master Data'!$B$261:$L$314,MATCH('Production Cost'!B52,'Master Data'!$B$261:$B$314,0),MATCH('Production Cost'!F52,'Master Data'!$B$261:$L$261,0)))</f>
        <v>One side Transparent Flat Bottom with Zipper (1000Gm)</v>
      </c>
      <c r="O52" s="115">
        <f t="shared" si="33"/>
        <v>1000</v>
      </c>
      <c r="P52" s="117">
        <f>+VLOOKUP($N52,'Master Data'!$B:$W,IF(G52="Wholesale",21,22),FALSE)</f>
        <v>11.94</v>
      </c>
      <c r="Q52" s="164">
        <f t="shared" si="34"/>
        <v>11.94</v>
      </c>
      <c r="R52" s="115">
        <f>IF(G52="Wholesale",'Master Data'!$V$127*$M52,'Master Data'!$W$127*$M52)</f>
        <v>2.2000000000000002</v>
      </c>
      <c r="S52" s="115">
        <f>IF(G52="Wholesale",'Master Data'!$V$111*$M52,'Master Data'!$W$111*$M52)</f>
        <v>3.0769230769230771</v>
      </c>
      <c r="T52" s="115">
        <f>IF(F52=1000,'Master Data'!$AF$40,IF(F52=500,'Master Data'!$AF$39,IF(F52=250,'Master Data'!$AF$39,'Master Data'!$AF$38)))</f>
        <v>11.116666666666667</v>
      </c>
      <c r="U52" s="117">
        <f>IF(F52=1000,VLOOKUP($E52,'Master Data'!$B:$W,IF(G52="Wholesale",21,22),FALSE),IF(F52=500,VLOOKUP($E52,'Master Data'!$B:$W,IF(G52="Wholesale",21,22),FALSE)/2,IF(F52=250,VLOOKUP($E52,'Master Data'!$B:$W,IF(G52="Wholesale",21,22),FALSE)/3,IF(F52=100,VLOOKUP($E52,'Master Data'!$B:$W,IF(G52="Wholesale",21,22),FALSE)/4,IF(F52=50,VLOOKUP($E52,'Master Data'!$B:$W,IF(G52="Wholesale",21,22),FALSE)/6,IF(F52=25,VLOOKUP($E52,'Master Data'!$B:$W,IF(G52="Wholesale",21,22),FALSE)/8,VLOOKUP($E52,'Master Data'!$B:$W,IF(G52="Wholesale",21,22),FALSE)/8))))))</f>
        <v>0</v>
      </c>
      <c r="V52" s="117">
        <f>+VLOOKUP($I52,'Master Data'!$B:$V,IF(G52="Wholesale",20,21),FALSE)</f>
        <v>40</v>
      </c>
      <c r="W52" s="144">
        <f>IF(F52=1000,'Master Data'!$AB$32,IF(F52=500,'Master Data'!$AB$33,IF(F52=250,'Master Data'!$AB$34,IF(F52=100,'Master Data'!$AB$35,IF(F52=50,'Master Data'!$AB$36,IF(F52=25,'Master Data'!$AB$37,'Master Data'!$AB$38))))))</f>
        <v>56.550000000000004</v>
      </c>
      <c r="X52" s="115">
        <f t="shared" si="35"/>
        <v>143.07407326007328</v>
      </c>
      <c r="Y52" s="127">
        <f t="shared" si="4"/>
        <v>1613.8148058608058</v>
      </c>
      <c r="Z52" s="128">
        <f t="shared" si="36"/>
        <v>1613.8148058608058</v>
      </c>
      <c r="AA52" s="127">
        <f t="shared" si="37"/>
        <v>1641.4814725274723</v>
      </c>
      <c r="AB52" s="286">
        <f t="shared" si="6"/>
        <v>144.18573992673993</v>
      </c>
      <c r="AC52" s="127">
        <f t="shared" si="7"/>
        <v>1586.043139194139</v>
      </c>
      <c r="AD52" s="287">
        <f t="shared" si="8"/>
        <v>2379.0647087912084</v>
      </c>
    </row>
    <row r="53" spans="1:30" ht="30">
      <c r="A53" s="125">
        <f t="shared" si="9"/>
        <v>51</v>
      </c>
      <c r="B53" s="121" t="s">
        <v>288</v>
      </c>
      <c r="C53" s="121" t="s">
        <v>274</v>
      </c>
      <c r="D53" s="126" t="str">
        <f>+VLOOKUP($B53,'Master Data'!$B$20:$W$197,2,FALSE)</f>
        <v>Chandan Enterprise</v>
      </c>
      <c r="E53" s="116" t="s">
        <v>295</v>
      </c>
      <c r="F53" s="126">
        <v>1000</v>
      </c>
      <c r="G53" s="126" t="s">
        <v>312</v>
      </c>
      <c r="H53" s="126" t="s">
        <v>320</v>
      </c>
      <c r="I53" s="125" t="s">
        <v>371</v>
      </c>
      <c r="J53" s="116">
        <v>10</v>
      </c>
      <c r="K53" s="117">
        <f>IF(D53="In House Production",INDEX('Master Data'!$H$552:$J$580,MATCH('Production Cost'!B53,'Master Data'!$H$552:$H$580,0),3),VLOOKUP($B53,'Master Data'!$B:$W,IF(G53="Wholesale",21,22),FALSE))</f>
        <v>1.1087619047619048</v>
      </c>
      <c r="L53" s="115">
        <v>1</v>
      </c>
      <c r="M53" s="115">
        <f>INDEX('Master Data'!$B$323:$K$376,MATCH('Production Cost'!$B53,'Master Data'!$B$323:$B$376,0),MATCH('Production Cost'!F$3,'Master Data'!$B$323:$K$323,0))</f>
        <v>1</v>
      </c>
      <c r="N53" s="116" t="str">
        <f>IF(H53="Maruthi Plastics",INDEX('Master Data'!$B$202:$L$255,MATCH('Production Cost'!B53,'Master Data'!$B$202:$B$255,0),MATCH('Production Cost'!F53,'Master Data'!$B$202:$L$202,0)),INDEX('Master Data'!$B$261:$L$314,MATCH('Production Cost'!B53,'Master Data'!$B$261:$B$314,0),MATCH('Production Cost'!F53,'Master Data'!$B$261:$L$261,0)))</f>
        <v>One side Transparent Flat Bottom with Zipper (1000Gm)</v>
      </c>
      <c r="O53" s="115">
        <f t="shared" si="33"/>
        <v>1000</v>
      </c>
      <c r="P53" s="117">
        <f>+VLOOKUP($N53,'Master Data'!$B:$W,IF(G53="Wholesale",21,22),FALSE)</f>
        <v>11.94</v>
      </c>
      <c r="Q53" s="164">
        <f t="shared" si="34"/>
        <v>11.94</v>
      </c>
      <c r="R53" s="115">
        <f>IF(G53="Wholesale",'Master Data'!$V$127*$M53,'Master Data'!$W$127*$M53)</f>
        <v>2.2000000000000002</v>
      </c>
      <c r="S53" s="115">
        <f>IF(G53="Wholesale",'Master Data'!$V$111*$M53,'Master Data'!$W$111*$M53)</f>
        <v>3.0769230769230771</v>
      </c>
      <c r="T53" s="115">
        <f>IF(F53=1000,'Master Data'!$AF$40,IF(F53=500,'Master Data'!$AF$39,IF(F53=250,'Master Data'!$AF$39,'Master Data'!$AF$38)))</f>
        <v>11.116666666666667</v>
      </c>
      <c r="U53" s="117">
        <f>IF(F53=1000,VLOOKUP($E53,'Master Data'!$B:$W,IF(G53="Wholesale",21,22),FALSE),IF(F53=500,VLOOKUP($E53,'Master Data'!$B:$W,IF(G53="Wholesale",21,22),FALSE)/2,IF(F53=250,VLOOKUP($E53,'Master Data'!$B:$W,IF(G53="Wholesale",21,22),FALSE)/3,IF(F53=100,VLOOKUP($E53,'Master Data'!$B:$W,IF(G53="Wholesale",21,22),FALSE)/4,IF(F53=50,VLOOKUP($E53,'Master Data'!$B:$W,IF(G53="Wholesale",21,22),FALSE)/6,IF(F53=25,VLOOKUP($E53,'Master Data'!$B:$W,IF(G53="Wholesale",21,22),FALSE)/8,VLOOKUP($E53,'Master Data'!$B:$W,IF(G53="Wholesale",21,22),FALSE)/8))))))</f>
        <v>0</v>
      </c>
      <c r="V53" s="117">
        <f>+VLOOKUP($I53,'Master Data'!$B:$V,IF(G53="Wholesale",20,21),FALSE)</f>
        <v>40</v>
      </c>
      <c r="W53" s="144">
        <f>IF(F53=1000,'Master Data'!$AB$32,IF(F53=500,'Master Data'!$AB$33,IF(F53=250,'Master Data'!$AB$34,IF(F53=100,'Master Data'!$AB$35,IF(F53=50,'Master Data'!$AB$36,IF(F53=25,'Master Data'!$AB$37,'Master Data'!$AB$38))))))</f>
        <v>56.550000000000004</v>
      </c>
      <c r="X53" s="115">
        <f t="shared" si="35"/>
        <v>112.59788278388281</v>
      </c>
      <c r="Y53" s="127">
        <f t="shared" si="4"/>
        <v>1278.5767106227108</v>
      </c>
      <c r="Z53" s="128">
        <f t="shared" si="36"/>
        <v>1278.5767106227108</v>
      </c>
      <c r="AA53" s="127">
        <f t="shared" si="37"/>
        <v>1306.2433772893773</v>
      </c>
      <c r="AB53" s="286">
        <f t="shared" si="6"/>
        <v>113.70954945054946</v>
      </c>
      <c r="AC53" s="127">
        <f t="shared" si="7"/>
        <v>1250.8050439560441</v>
      </c>
      <c r="AD53" s="287">
        <f t="shared" si="8"/>
        <v>1876.2075659340662</v>
      </c>
    </row>
    <row r="54" spans="1:30" ht="30">
      <c r="A54" s="125">
        <f t="shared" si="9"/>
        <v>52</v>
      </c>
      <c r="B54" s="121" t="s">
        <v>17</v>
      </c>
      <c r="C54" s="121" t="s">
        <v>275</v>
      </c>
      <c r="D54" s="126" t="str">
        <f>+VLOOKUP($B54,'Master Data'!$B$20:$W$197,2,FALSE)</f>
        <v>Ali Kikabai</v>
      </c>
      <c r="E54" s="116" t="s">
        <v>295</v>
      </c>
      <c r="F54" s="126">
        <v>1000</v>
      </c>
      <c r="G54" s="126" t="s">
        <v>312</v>
      </c>
      <c r="H54" s="126" t="s">
        <v>320</v>
      </c>
      <c r="I54" s="125" t="s">
        <v>371</v>
      </c>
      <c r="J54" s="116">
        <v>10</v>
      </c>
      <c r="K54" s="117">
        <f>IF(D54="In House Production",INDEX('Master Data'!$H$552:$J$580,MATCH('Production Cost'!B54,'Master Data'!$H$552:$H$580,0),3),VLOOKUP($B54,'Master Data'!$B:$W,IF(G54="Wholesale",21,22),FALSE))</f>
        <v>0.48360000000000003</v>
      </c>
      <c r="L54" s="115">
        <v>1</v>
      </c>
      <c r="M54" s="115">
        <f>INDEX('Master Data'!$B$323:$K$376,MATCH('Production Cost'!$B54,'Master Data'!$B$323:$B$376,0),MATCH('Production Cost'!F$3,'Master Data'!$B$323:$K$323,0))</f>
        <v>4</v>
      </c>
      <c r="N54" s="116" t="str">
        <f>IF(H54="Maruthi Plastics",INDEX('Master Data'!$B$202:$L$255,MATCH('Production Cost'!B54,'Master Data'!$B$202:$B$255,0),MATCH('Production Cost'!F54,'Master Data'!$B$202:$L$202,0)),INDEX('Master Data'!$B$261:$L$314,MATCH('Production Cost'!B54,'Master Data'!$B$261:$B$314,0),MATCH('Production Cost'!F54,'Master Data'!$B$261:$L$261,0)))</f>
        <v>One side Transparent Flat Bottom with Zipper (1000Gm)</v>
      </c>
      <c r="O54" s="115">
        <f t="shared" si="33"/>
        <v>1000</v>
      </c>
      <c r="P54" s="117">
        <f>+VLOOKUP($N54,'Master Data'!$B:$W,IF(G54="Wholesale",21,22),FALSE)</f>
        <v>11.94</v>
      </c>
      <c r="Q54" s="164">
        <f t="shared" si="34"/>
        <v>47.76</v>
      </c>
      <c r="R54" s="115">
        <f>IF(G54="Wholesale",'Master Data'!$V$127*$M54,'Master Data'!$W$127*$M54)</f>
        <v>8.8000000000000007</v>
      </c>
      <c r="S54" s="115">
        <f>IF(G54="Wholesale",'Master Data'!$V$111*$M54,'Master Data'!$W$111*$M54)</f>
        <v>12.307692307692308</v>
      </c>
      <c r="T54" s="115">
        <f>IF(F54=1000,'Master Data'!$AF$40,IF(F54=500,'Master Data'!$AF$39,IF(F54=250,'Master Data'!$AF$39,'Master Data'!$AF$38)))</f>
        <v>11.116666666666667</v>
      </c>
      <c r="U54" s="117">
        <f>IF(F54=1000,VLOOKUP($E54,'Master Data'!$B:$W,IF(G54="Wholesale",21,22),FALSE),IF(F54=500,VLOOKUP($E54,'Master Data'!$B:$W,IF(G54="Wholesale",21,22),FALSE)/2,IF(F54=250,VLOOKUP($E54,'Master Data'!$B:$W,IF(G54="Wholesale",21,22),FALSE)/3,IF(F54=100,VLOOKUP($E54,'Master Data'!$B:$W,IF(G54="Wholesale",21,22),FALSE)/4,IF(F54=50,VLOOKUP($E54,'Master Data'!$B:$W,IF(G54="Wholesale",21,22),FALSE)/6,IF(F54=25,VLOOKUP($E54,'Master Data'!$B:$W,IF(G54="Wholesale",21,22),FALSE)/8,VLOOKUP($E54,'Master Data'!$B:$W,IF(G54="Wholesale",21,22),FALSE)/8))))))</f>
        <v>0</v>
      </c>
      <c r="V54" s="117">
        <f>+VLOOKUP($I54,'Master Data'!$B:$V,IF(G54="Wholesale",20,21),FALSE)</f>
        <v>40</v>
      </c>
      <c r="W54" s="144">
        <f>IF(F54=1000,'Master Data'!$AB$32,IF(F54=500,'Master Data'!$AB$33,IF(F54=250,'Master Data'!$AB$34,IF(F54=100,'Master Data'!$AB$35,IF(F54=50,'Master Data'!$AB$36,IF(F54=25,'Master Data'!$AB$37,'Master Data'!$AB$38))))))</f>
        <v>56.550000000000004</v>
      </c>
      <c r="X54" s="115">
        <f t="shared" si="35"/>
        <v>55.246769230769225</v>
      </c>
      <c r="Y54" s="127">
        <f t="shared" si="4"/>
        <v>647.71446153846148</v>
      </c>
      <c r="Z54" s="128">
        <f t="shared" si="36"/>
        <v>647.71446153846148</v>
      </c>
      <c r="AA54" s="127">
        <f t="shared" si="37"/>
        <v>675.38112820512811</v>
      </c>
      <c r="AB54" s="286">
        <f t="shared" si="6"/>
        <v>56.358435897435896</v>
      </c>
      <c r="AC54" s="127">
        <f t="shared" si="7"/>
        <v>619.94279487179483</v>
      </c>
      <c r="AD54" s="287">
        <f t="shared" si="8"/>
        <v>929.91419230769225</v>
      </c>
    </row>
    <row r="55" spans="1:30" ht="30">
      <c r="A55" s="125">
        <f t="shared" si="9"/>
        <v>53</v>
      </c>
      <c r="B55" s="121" t="s">
        <v>40</v>
      </c>
      <c r="C55" s="121"/>
      <c r="D55" s="126" t="str">
        <f>+VLOOKUP($B55,'Master Data'!$B$20:$W$197,2,FALSE)</f>
        <v>Chandan Enterprise</v>
      </c>
      <c r="E55" s="116" t="s">
        <v>295</v>
      </c>
      <c r="F55" s="126">
        <v>1000</v>
      </c>
      <c r="G55" s="126" t="s">
        <v>312</v>
      </c>
      <c r="H55" s="126" t="s">
        <v>320</v>
      </c>
      <c r="I55" s="125" t="s">
        <v>371</v>
      </c>
      <c r="J55" s="116">
        <v>10</v>
      </c>
      <c r="K55" s="117">
        <f>IF(D55="In House Production",INDEX('Master Data'!$H$552:$J$580,MATCH('Production Cost'!B55,'Master Data'!$H$552:$H$580,0),3),VLOOKUP($B55,'Master Data'!$B:$W,IF(G55="Wholesale",21,22),FALSE))</f>
        <v>0.1</v>
      </c>
      <c r="L55" s="115">
        <v>1</v>
      </c>
      <c r="M55" s="115">
        <f>INDEX('Master Data'!$B$323:$K$376,MATCH('Production Cost'!$B55,'Master Data'!$B$323:$B$376,0),MATCH('Production Cost'!F$3,'Master Data'!$B$323:$K$323,0))</f>
        <v>1</v>
      </c>
      <c r="N55" s="116" t="str">
        <f>IF(H55="Maruthi Plastics",INDEX('Master Data'!$B$202:$L$255,MATCH('Production Cost'!B55,'Master Data'!$B$202:$B$255,0),MATCH('Production Cost'!F55,'Master Data'!$B$202:$L$202,0)),INDEX('Master Data'!$B$261:$L$314,MATCH('Production Cost'!B55,'Master Data'!$B$261:$B$314,0),MATCH('Production Cost'!F55,'Master Data'!$B$261:$L$261,0)))</f>
        <v>One side Transparent Flat Bottom with Zipper (1000Gm)</v>
      </c>
      <c r="O55" s="115">
        <f t="shared" si="33"/>
        <v>1000</v>
      </c>
      <c r="P55" s="117">
        <f>+VLOOKUP($N55,'Master Data'!$B:$W,IF(G55="Wholesale",21,22),FALSE)</f>
        <v>11.94</v>
      </c>
      <c r="Q55" s="164">
        <f t="shared" si="34"/>
        <v>11.94</v>
      </c>
      <c r="R55" s="115">
        <f>IF(G55="Wholesale",'Master Data'!$V$127*$M55,'Master Data'!$W$127*$M55)</f>
        <v>2.2000000000000002</v>
      </c>
      <c r="S55" s="115">
        <f>IF(G55="Wholesale",'Master Data'!$V$111*$M55,'Master Data'!$W$111*$M55)</f>
        <v>3.0769230769230771</v>
      </c>
      <c r="T55" s="115">
        <f>IF(F55=1000,'Master Data'!$AF$40,IF(F55=500,'Master Data'!$AF$39,IF(F55=250,'Master Data'!$AF$39,'Master Data'!$AF$38)))</f>
        <v>11.116666666666667</v>
      </c>
      <c r="U55" s="117">
        <f>IF(F55=1000,VLOOKUP($E55,'Master Data'!$B:$W,IF(G55="Wholesale",21,22),FALSE),IF(F55=500,VLOOKUP($E55,'Master Data'!$B:$W,IF(G55="Wholesale",21,22),FALSE)/2,IF(F55=250,VLOOKUP($E55,'Master Data'!$B:$W,IF(G55="Wholesale",21,22),FALSE)/3,IF(F55=100,VLOOKUP($E55,'Master Data'!$B:$W,IF(G55="Wholesale",21,22),FALSE)/4,IF(F55=50,VLOOKUP($E55,'Master Data'!$B:$W,IF(G55="Wholesale",21,22),FALSE)/6,IF(F55=25,VLOOKUP($E55,'Master Data'!$B:$W,IF(G55="Wholesale",21,22),FALSE)/8,VLOOKUP($E55,'Master Data'!$B:$W,IF(G55="Wholesale",21,22),FALSE)/8))))))</f>
        <v>0</v>
      </c>
      <c r="V55" s="117">
        <f>+VLOOKUP($I55,'Master Data'!$B:$V,IF(G55="Wholesale",20,21),FALSE)</f>
        <v>40</v>
      </c>
      <c r="W55" s="144">
        <f>IF(F55=1000,'Master Data'!$AB$32,IF(F55=500,'Master Data'!$AB$33,IF(F55=250,'Master Data'!$AB$34,IF(F55=100,'Master Data'!$AB$35,IF(F55=50,'Master Data'!$AB$36,IF(F55=25,'Master Data'!$AB$37,'Master Data'!$AB$38))))))</f>
        <v>56.550000000000004</v>
      </c>
      <c r="X55" s="115">
        <f t="shared" si="35"/>
        <v>11.721692307692308</v>
      </c>
      <c r="Y55" s="127">
        <f t="shared" si="4"/>
        <v>168.93861538461539</v>
      </c>
      <c r="Z55" s="128">
        <f t="shared" si="36"/>
        <v>168.93861538461539</v>
      </c>
      <c r="AA55" s="127">
        <f t="shared" si="37"/>
        <v>196.60528205128207</v>
      </c>
      <c r="AB55" s="286">
        <f t="shared" si="6"/>
        <v>12.833358974358976</v>
      </c>
      <c r="AC55" s="127">
        <f t="shared" si="7"/>
        <v>141.16694871794874</v>
      </c>
      <c r="AD55" s="287">
        <f t="shared" si="8"/>
        <v>211.75042307692311</v>
      </c>
    </row>
    <row r="56" spans="1:30" ht="30">
      <c r="A56" s="125">
        <f t="shared" si="9"/>
        <v>54</v>
      </c>
      <c r="B56" s="121" t="s">
        <v>86</v>
      </c>
      <c r="C56" s="121"/>
      <c r="D56" s="126" t="str">
        <f>+VLOOKUP($B56,'Master Data'!$B$20:$W$197,2,FALSE)</f>
        <v>Chandan Enterprise</v>
      </c>
      <c r="E56" s="116" t="s">
        <v>295</v>
      </c>
      <c r="F56" s="126">
        <v>1000</v>
      </c>
      <c r="G56" s="126" t="s">
        <v>312</v>
      </c>
      <c r="H56" s="126" t="s">
        <v>320</v>
      </c>
      <c r="I56" s="125" t="s">
        <v>371</v>
      </c>
      <c r="J56" s="116">
        <v>10</v>
      </c>
      <c r="K56" s="117">
        <f>IF(D56="In House Production",INDEX('Master Data'!$H$552:$J$580,MATCH('Production Cost'!B56,'Master Data'!$H$552:$H$580,0),3),VLOOKUP($B56,'Master Data'!$B:$W,IF(G56="Wholesale",21,22),FALSE))</f>
        <v>0.27</v>
      </c>
      <c r="L56" s="115">
        <v>1</v>
      </c>
      <c r="M56" s="115" t="e">
        <f>INDEX('Master Data'!$B$323:$K$376,MATCH('Production Cost'!$B56,'Master Data'!$B$323:$B$376,0),MATCH('Production Cost'!F$3,'Master Data'!$B$323:$K$323,0))</f>
        <v>#N/A</v>
      </c>
      <c r="N56" s="116" t="e">
        <f>IF(H56="Maruthi Plastics",INDEX('Master Data'!$B$202:$L$255,MATCH('Production Cost'!B56,'Master Data'!$B$202:$B$255,0),MATCH('Production Cost'!F56,'Master Data'!$B$202:$L$202,0)),INDEX('Master Data'!$B$261:$L$314,MATCH('Production Cost'!B56,'Master Data'!$B$261:$B$314,0),MATCH('Production Cost'!F56,'Master Data'!$B$261:$L$261,0)))</f>
        <v>#N/A</v>
      </c>
      <c r="O56" s="115">
        <f t="shared" si="33"/>
        <v>1000</v>
      </c>
      <c r="P56" s="117" t="e">
        <f>+VLOOKUP($N56,'Master Data'!$B:$W,IF(G56="Wholesale",21,22),FALSE)</f>
        <v>#N/A</v>
      </c>
      <c r="Q56" s="164" t="e">
        <f t="shared" si="34"/>
        <v>#N/A</v>
      </c>
      <c r="R56" s="115" t="e">
        <f>IF(G56="Wholesale",'Master Data'!$V$127*$M56,'Master Data'!$W$127*$M56)</f>
        <v>#N/A</v>
      </c>
      <c r="S56" s="115" t="e">
        <f>IF(G56="Wholesale",'Master Data'!$V$111*$M56,'Master Data'!$W$111*$M56)</f>
        <v>#N/A</v>
      </c>
      <c r="T56" s="115">
        <f>IF(F56=1000,'Master Data'!$AF$40,IF(F56=500,'Master Data'!$AF$39,IF(F56=250,'Master Data'!$AF$39,'Master Data'!$AF$38)))</f>
        <v>11.116666666666667</v>
      </c>
      <c r="U56" s="117">
        <f>IF(F56=1000,VLOOKUP($E56,'Master Data'!$B:$W,IF(G56="Wholesale",21,22),FALSE),IF(F56=500,VLOOKUP($E56,'Master Data'!$B:$W,IF(G56="Wholesale",21,22),FALSE)/2,IF(F56=250,VLOOKUP($E56,'Master Data'!$B:$W,IF(G56="Wholesale",21,22),FALSE)/3,IF(F56=100,VLOOKUP($E56,'Master Data'!$B:$W,IF(G56="Wholesale",21,22),FALSE)/4,IF(F56=50,VLOOKUP($E56,'Master Data'!$B:$W,IF(G56="Wholesale",21,22),FALSE)/6,IF(F56=25,VLOOKUP($E56,'Master Data'!$B:$W,IF(G56="Wholesale",21,22),FALSE)/8,VLOOKUP($E56,'Master Data'!$B:$W,IF(G56="Wholesale",21,22),FALSE)/8))))))</f>
        <v>0</v>
      </c>
      <c r="V56" s="117">
        <f>+VLOOKUP($I56,'Master Data'!$B:$V,IF(G56="Wholesale",20,21),FALSE)</f>
        <v>40</v>
      </c>
      <c r="W56" s="144">
        <f>IF(F56=1000,'Master Data'!$AB$32,IF(F56=500,'Master Data'!$AB$33,IF(F56=250,'Master Data'!$AB$34,IF(F56=100,'Master Data'!$AB$35,IF(F56=50,'Master Data'!$AB$36,IF(F56=25,'Master Data'!$AB$37,'Master Data'!$AB$38))))))</f>
        <v>56.550000000000004</v>
      </c>
      <c r="X56" s="115" t="e">
        <f t="shared" si="35"/>
        <v>#N/A</v>
      </c>
      <c r="Y56" s="127" t="e">
        <f t="shared" si="4"/>
        <v>#N/A</v>
      </c>
      <c r="Z56" s="128" t="e">
        <f t="shared" si="36"/>
        <v>#N/A</v>
      </c>
      <c r="AA56" s="127" t="e">
        <f t="shared" si="37"/>
        <v>#N/A</v>
      </c>
      <c r="AB56" s="286" t="e">
        <f t="shared" si="6"/>
        <v>#N/A</v>
      </c>
      <c r="AC56" s="127" t="e">
        <f t="shared" si="7"/>
        <v>#N/A</v>
      </c>
      <c r="AD56" s="287" t="e">
        <f t="shared" si="8"/>
        <v>#N/A</v>
      </c>
    </row>
    <row r="57" spans="1:30" ht="30">
      <c r="A57" s="125">
        <f t="shared" si="9"/>
        <v>55</v>
      </c>
      <c r="B57" s="121" t="s">
        <v>70</v>
      </c>
      <c r="C57" s="121"/>
      <c r="D57" s="126" t="str">
        <f>+VLOOKUP($B57,'Master Data'!$B$20:$W$197,2,FALSE)</f>
        <v>Chandan Enterprise</v>
      </c>
      <c r="E57" s="116" t="s">
        <v>295</v>
      </c>
      <c r="F57" s="126">
        <v>1000</v>
      </c>
      <c r="G57" s="126" t="s">
        <v>312</v>
      </c>
      <c r="H57" s="126" t="s">
        <v>320</v>
      </c>
      <c r="I57" s="125" t="s">
        <v>371</v>
      </c>
      <c r="J57" s="116">
        <v>10</v>
      </c>
      <c r="K57" s="117">
        <f>IF(D57="In House Production",INDEX('Master Data'!$H$552:$J$580,MATCH('Production Cost'!B57,'Master Data'!$H$552:$H$580,0),3),VLOOKUP($B57,'Master Data'!$B:$W,IF(G57="Wholesale",21,22),FALSE))</f>
        <v>0.36499999999999999</v>
      </c>
      <c r="L57" s="115">
        <v>1</v>
      </c>
      <c r="M57" s="115" t="e">
        <f>INDEX('Master Data'!$B$323:$K$376,MATCH('Production Cost'!$B57,'Master Data'!$B$323:$B$376,0),MATCH('Production Cost'!F$3,'Master Data'!$B$323:$K$323,0))</f>
        <v>#N/A</v>
      </c>
      <c r="N57" s="116" t="e">
        <f>IF(H57="Maruthi Plastics",INDEX('Master Data'!$B$202:$L$255,MATCH('Production Cost'!B57,'Master Data'!$B$202:$B$255,0),MATCH('Production Cost'!F57,'Master Data'!$B$202:$L$202,0)),INDEX('Master Data'!$B$261:$L$314,MATCH('Production Cost'!B57,'Master Data'!$B$261:$B$314,0),MATCH('Production Cost'!F57,'Master Data'!$B$261:$L$261,0)))</f>
        <v>#N/A</v>
      </c>
      <c r="O57" s="115">
        <f t="shared" si="33"/>
        <v>1000</v>
      </c>
      <c r="P57" s="117" t="e">
        <f>+VLOOKUP($N57,'Master Data'!$B:$W,IF(G57="Wholesale",21,22),FALSE)</f>
        <v>#N/A</v>
      </c>
      <c r="Q57" s="164" t="e">
        <f t="shared" si="34"/>
        <v>#N/A</v>
      </c>
      <c r="R57" s="115" t="e">
        <f>IF(G57="Wholesale",'Master Data'!$V$127*$M57,'Master Data'!$W$127*$M57)</f>
        <v>#N/A</v>
      </c>
      <c r="S57" s="115" t="e">
        <f>IF(G57="Wholesale",'Master Data'!$V$111*$M57,'Master Data'!$W$111*$M57)</f>
        <v>#N/A</v>
      </c>
      <c r="T57" s="115">
        <f>IF(F57=1000,'Master Data'!$AF$40,IF(F57=500,'Master Data'!$AF$39,IF(F57=250,'Master Data'!$AF$39,'Master Data'!$AF$38)))</f>
        <v>11.116666666666667</v>
      </c>
      <c r="U57" s="117">
        <f>IF(F57=1000,VLOOKUP($E57,'Master Data'!$B:$W,IF(G57="Wholesale",21,22),FALSE),IF(F57=500,VLOOKUP($E57,'Master Data'!$B:$W,IF(G57="Wholesale",21,22),FALSE)/2,IF(F57=250,VLOOKUP($E57,'Master Data'!$B:$W,IF(G57="Wholesale",21,22),FALSE)/3,IF(F57=100,VLOOKUP($E57,'Master Data'!$B:$W,IF(G57="Wholesale",21,22),FALSE)/4,IF(F57=50,VLOOKUP($E57,'Master Data'!$B:$W,IF(G57="Wholesale",21,22),FALSE)/6,IF(F57=25,VLOOKUP($E57,'Master Data'!$B:$W,IF(G57="Wholesale",21,22),FALSE)/8,VLOOKUP($E57,'Master Data'!$B:$W,IF(G57="Wholesale",21,22),FALSE)/8))))))</f>
        <v>0</v>
      </c>
      <c r="V57" s="117">
        <f>+VLOOKUP($I57,'Master Data'!$B:$V,IF(G57="Wholesale",20,21),FALSE)</f>
        <v>40</v>
      </c>
      <c r="W57" s="144">
        <f>IF(F57=1000,'Master Data'!$AB$32,IF(F57=500,'Master Data'!$AB$33,IF(F57=250,'Master Data'!$AB$34,IF(F57=100,'Master Data'!$AB$35,IF(F57=50,'Master Data'!$AB$36,IF(F57=25,'Master Data'!$AB$37,'Master Data'!$AB$38))))))</f>
        <v>56.550000000000004</v>
      </c>
      <c r="X57" s="115" t="e">
        <f t="shared" si="35"/>
        <v>#N/A</v>
      </c>
      <c r="Y57" s="127" t="e">
        <f t="shared" si="4"/>
        <v>#N/A</v>
      </c>
      <c r="Z57" s="128" t="e">
        <f t="shared" si="36"/>
        <v>#N/A</v>
      </c>
      <c r="AA57" s="127" t="e">
        <f t="shared" si="37"/>
        <v>#N/A</v>
      </c>
      <c r="AB57" s="286" t="e">
        <f t="shared" si="6"/>
        <v>#N/A</v>
      </c>
      <c r="AC57" s="127" t="e">
        <f t="shared" si="7"/>
        <v>#N/A</v>
      </c>
      <c r="AD57" s="287" t="e">
        <f t="shared" si="8"/>
        <v>#N/A</v>
      </c>
    </row>
    <row r="58" spans="1:30" ht="30">
      <c r="A58" s="125">
        <f t="shared" si="9"/>
        <v>56</v>
      </c>
      <c r="B58" s="121" t="s">
        <v>57</v>
      </c>
      <c r="C58" s="121"/>
      <c r="D58" s="126" t="str">
        <f>+VLOOKUP($B58,'Master Data'!$B$20:$W$197,2,FALSE)</f>
        <v>Chandan Enterprise</v>
      </c>
      <c r="E58" s="116" t="s">
        <v>295</v>
      </c>
      <c r="F58" s="126">
        <v>1000</v>
      </c>
      <c r="G58" s="126" t="s">
        <v>312</v>
      </c>
      <c r="H58" s="126" t="s">
        <v>320</v>
      </c>
      <c r="I58" s="125" t="s">
        <v>371</v>
      </c>
      <c r="J58" s="116">
        <v>10</v>
      </c>
      <c r="K58" s="117">
        <f>IF(D58="In House Production",INDEX('Master Data'!$H$552:$J$580,MATCH('Production Cost'!B58,'Master Data'!$H$552:$H$580,0),3),VLOOKUP($B58,'Master Data'!$B:$W,IF(G58="Wholesale",21,22),FALSE))</f>
        <v>0.21199999999999999</v>
      </c>
      <c r="L58" s="115">
        <v>1</v>
      </c>
      <c r="M58" s="115" t="e">
        <f>INDEX('Master Data'!$B$323:$K$376,MATCH('Production Cost'!$B58,'Master Data'!$B$323:$B$376,0),MATCH('Production Cost'!F$3,'Master Data'!$B$323:$K$323,0))</f>
        <v>#N/A</v>
      </c>
      <c r="N58" s="116" t="e">
        <f>IF(H58="Maruthi Plastics",INDEX('Master Data'!$B$202:$L$255,MATCH('Production Cost'!B58,'Master Data'!$B$202:$B$255,0),MATCH('Production Cost'!F58,'Master Data'!$B$202:$L$202,0)),INDEX('Master Data'!$B$261:$L$314,MATCH('Production Cost'!B58,'Master Data'!$B$261:$B$314,0),MATCH('Production Cost'!F58,'Master Data'!$B$261:$L$261,0)))</f>
        <v>#N/A</v>
      </c>
      <c r="O58" s="115">
        <f t="shared" si="33"/>
        <v>1000</v>
      </c>
      <c r="P58" s="117" t="e">
        <f>+VLOOKUP($N58,'Master Data'!$B:$W,IF(G58="Wholesale",21,22),FALSE)</f>
        <v>#N/A</v>
      </c>
      <c r="Q58" s="164" t="e">
        <f t="shared" si="34"/>
        <v>#N/A</v>
      </c>
      <c r="R58" s="115" t="e">
        <f>IF(G58="Wholesale",'Master Data'!$V$127*$M58,'Master Data'!$W$127*$M58)</f>
        <v>#N/A</v>
      </c>
      <c r="S58" s="115" t="e">
        <f>IF(G58="Wholesale",'Master Data'!$V$111*$M58,'Master Data'!$W$111*$M58)</f>
        <v>#N/A</v>
      </c>
      <c r="T58" s="115">
        <f>IF(F58=1000,'Master Data'!$AF$40,IF(F58=500,'Master Data'!$AF$39,IF(F58=250,'Master Data'!$AF$39,'Master Data'!$AF$38)))</f>
        <v>11.116666666666667</v>
      </c>
      <c r="U58" s="117">
        <f>IF(F58=1000,VLOOKUP($E58,'Master Data'!$B:$W,IF(G58="Wholesale",21,22),FALSE),IF(F58=500,VLOOKUP($E58,'Master Data'!$B:$W,IF(G58="Wholesale",21,22),FALSE)/2,IF(F58=250,VLOOKUP($E58,'Master Data'!$B:$W,IF(G58="Wholesale",21,22),FALSE)/3,IF(F58=100,VLOOKUP($E58,'Master Data'!$B:$W,IF(G58="Wholesale",21,22),FALSE)/4,IF(F58=50,VLOOKUP($E58,'Master Data'!$B:$W,IF(G58="Wholesale",21,22),FALSE)/6,IF(F58=25,VLOOKUP($E58,'Master Data'!$B:$W,IF(G58="Wholesale",21,22),FALSE)/8,VLOOKUP($E58,'Master Data'!$B:$W,IF(G58="Wholesale",21,22),FALSE)/8))))))</f>
        <v>0</v>
      </c>
      <c r="V58" s="117">
        <f>+VLOOKUP($I58,'Master Data'!$B:$V,IF(G58="Wholesale",20,21),FALSE)</f>
        <v>40</v>
      </c>
      <c r="W58" s="144">
        <f>IF(F58=1000,'Master Data'!$AB$32,IF(F58=500,'Master Data'!$AB$33,IF(F58=250,'Master Data'!$AB$34,IF(F58=100,'Master Data'!$AB$35,IF(F58=50,'Master Data'!$AB$36,IF(F58=25,'Master Data'!$AB$37,'Master Data'!$AB$38))))))</f>
        <v>56.550000000000004</v>
      </c>
      <c r="X58" s="115" t="e">
        <f t="shared" si="35"/>
        <v>#N/A</v>
      </c>
      <c r="Y58" s="127" t="e">
        <f t="shared" si="4"/>
        <v>#N/A</v>
      </c>
      <c r="Z58" s="128" t="e">
        <f t="shared" si="36"/>
        <v>#N/A</v>
      </c>
      <c r="AA58" s="127" t="e">
        <f t="shared" si="37"/>
        <v>#N/A</v>
      </c>
      <c r="AB58" s="286" t="e">
        <f t="shared" si="6"/>
        <v>#N/A</v>
      </c>
      <c r="AC58" s="127" t="e">
        <f t="shared" si="7"/>
        <v>#N/A</v>
      </c>
      <c r="AD58" s="287" t="e">
        <f t="shared" si="8"/>
        <v>#N/A</v>
      </c>
    </row>
    <row r="59" spans="1:30" ht="30">
      <c r="A59" s="125">
        <f t="shared" si="9"/>
        <v>57</v>
      </c>
      <c r="B59" s="236" t="s">
        <v>52</v>
      </c>
      <c r="C59" s="121"/>
      <c r="D59" s="126" t="str">
        <f>+VLOOKUP($B59,'Master Data'!$B$20:$W$197,2,FALSE)</f>
        <v>Chandan Enterprise</v>
      </c>
      <c r="E59" s="116" t="s">
        <v>295</v>
      </c>
      <c r="F59" s="126">
        <v>1000</v>
      </c>
      <c r="G59" s="126" t="s">
        <v>312</v>
      </c>
      <c r="H59" s="126" t="s">
        <v>320</v>
      </c>
      <c r="I59" s="125" t="s">
        <v>371</v>
      </c>
      <c r="J59" s="116">
        <v>10</v>
      </c>
      <c r="K59" s="117">
        <f>IF(D59="In House Production",INDEX('Master Data'!$H$552:$J$580,MATCH('Production Cost'!B59,'Master Data'!$H$552:$H$580,0),3),VLOOKUP($B59,'Master Data'!$B:$W,IF(G59="Wholesale",21,22),FALSE))</f>
        <v>0.34599999999999997</v>
      </c>
      <c r="L59" s="115">
        <v>1</v>
      </c>
      <c r="M59" s="115" t="e">
        <f>INDEX('Master Data'!$B$323:$K$376,MATCH('Production Cost'!$B59,'Master Data'!$B$323:$B$376,0),MATCH('Production Cost'!F$3,'Master Data'!$B$323:$K$323,0))</f>
        <v>#N/A</v>
      </c>
      <c r="N59" s="116" t="e">
        <f>IF(H59="Maruthi Plastics",INDEX('Master Data'!$B$202:$L$255,MATCH('Production Cost'!B59,'Master Data'!$B$202:$B$255,0),MATCH('Production Cost'!F59,'Master Data'!$B$202:$L$202,0)),INDEX('Master Data'!$B$261:$L$314,MATCH('Production Cost'!B59,'Master Data'!$B$261:$B$314,0),MATCH('Production Cost'!F59,'Master Data'!$B$261:$L$261,0)))</f>
        <v>#N/A</v>
      </c>
      <c r="O59" s="115">
        <f t="shared" si="33"/>
        <v>1000</v>
      </c>
      <c r="P59" s="117" t="e">
        <f>+VLOOKUP($N59,'Master Data'!$B:$W,IF(G59="Wholesale",21,22),FALSE)</f>
        <v>#N/A</v>
      </c>
      <c r="Q59" s="164" t="e">
        <f t="shared" si="34"/>
        <v>#N/A</v>
      </c>
      <c r="R59" s="115" t="e">
        <f>IF(G59="Wholesale",'Master Data'!$V$127*$M59,'Master Data'!$W$127*$M59)</f>
        <v>#N/A</v>
      </c>
      <c r="S59" s="115" t="e">
        <f>IF(G59="Wholesale",'Master Data'!$V$111*$M59,'Master Data'!$W$111*$M59)</f>
        <v>#N/A</v>
      </c>
      <c r="T59" s="115">
        <f>IF(F59=1000,'Master Data'!$AF$40,IF(F59=500,'Master Data'!$AF$39,IF(F59=250,'Master Data'!$AF$39,'Master Data'!$AF$38)))</f>
        <v>11.116666666666667</v>
      </c>
      <c r="U59" s="117">
        <f>IF(F59=1000,VLOOKUP($E59,'Master Data'!$B:$W,IF(G59="Wholesale",21,22),FALSE),IF(F59=500,VLOOKUP($E59,'Master Data'!$B:$W,IF(G59="Wholesale",21,22),FALSE)/2,IF(F59=250,VLOOKUP($E59,'Master Data'!$B:$W,IF(G59="Wholesale",21,22),FALSE)/3,IF(F59=100,VLOOKUP($E59,'Master Data'!$B:$W,IF(G59="Wholesale",21,22),FALSE)/4,IF(F59=50,VLOOKUP($E59,'Master Data'!$B:$W,IF(G59="Wholesale",21,22),FALSE)/6,IF(F59=25,VLOOKUP($E59,'Master Data'!$B:$W,IF(G59="Wholesale",21,22),FALSE)/8,VLOOKUP($E59,'Master Data'!$B:$W,IF(G59="Wholesale",21,22),FALSE)/8))))))</f>
        <v>0</v>
      </c>
      <c r="V59" s="117">
        <f>+VLOOKUP($I59,'Master Data'!$B:$V,IF(G59="Wholesale",20,21),FALSE)</f>
        <v>40</v>
      </c>
      <c r="W59" s="144">
        <f>IF(F59=1000,'Master Data'!$AB$32,IF(F59=500,'Master Data'!$AB$33,IF(F59=250,'Master Data'!$AB$34,IF(F59=100,'Master Data'!$AB$35,IF(F59=50,'Master Data'!$AB$36,IF(F59=25,'Master Data'!$AB$37,'Master Data'!$AB$38))))))</f>
        <v>56.550000000000004</v>
      </c>
      <c r="X59" s="115" t="e">
        <f t="shared" si="35"/>
        <v>#N/A</v>
      </c>
      <c r="Y59" s="127" t="e">
        <f t="shared" si="4"/>
        <v>#N/A</v>
      </c>
      <c r="Z59" s="128" t="e">
        <f t="shared" si="36"/>
        <v>#N/A</v>
      </c>
      <c r="AA59" s="127" t="e">
        <f t="shared" si="37"/>
        <v>#N/A</v>
      </c>
      <c r="AB59" s="286" t="e">
        <f t="shared" si="6"/>
        <v>#N/A</v>
      </c>
      <c r="AC59" s="127" t="e">
        <f t="shared" si="7"/>
        <v>#N/A</v>
      </c>
      <c r="AD59" s="287" t="e">
        <f t="shared" si="8"/>
        <v>#N/A</v>
      </c>
    </row>
    <row r="60" spans="1:30" ht="30">
      <c r="A60" s="125">
        <f t="shared" si="9"/>
        <v>58</v>
      </c>
      <c r="B60" s="237" t="s">
        <v>54</v>
      </c>
      <c r="C60" s="121"/>
      <c r="D60" s="126" t="s">
        <v>78</v>
      </c>
      <c r="E60" s="116" t="s">
        <v>295</v>
      </c>
      <c r="F60" s="126">
        <v>1000</v>
      </c>
      <c r="G60" s="126" t="s">
        <v>312</v>
      </c>
      <c r="H60" s="126" t="s">
        <v>320</v>
      </c>
      <c r="I60" s="125" t="s">
        <v>371</v>
      </c>
      <c r="J60" s="116">
        <v>10</v>
      </c>
      <c r="K60" s="117">
        <f>IF(D60="In House Production",INDEX('Master Data'!$H$552:$J$580,MATCH('Production Cost'!B60,'Master Data'!$H$552:$H$580,0),3),VLOOKUP($B60,'Master Data'!$B:$W,IF(G60="Wholesale",21,22),FALSE))</f>
        <v>0.13352380952380952</v>
      </c>
      <c r="L60" s="115">
        <v>1</v>
      </c>
      <c r="M60" s="115" t="e">
        <f>INDEX('Master Data'!$B$323:$K$376,MATCH('Production Cost'!$B60,'Master Data'!$B$323:$B$376,0),MATCH('Production Cost'!F$3,'Master Data'!$B$323:$K$323,0))</f>
        <v>#N/A</v>
      </c>
      <c r="N60" s="116" t="e">
        <f>IF(H60="Maruthi Plastics",INDEX('Master Data'!$B$202:$L$255,MATCH('Production Cost'!B60,'Master Data'!$B$202:$B$255,0),MATCH('Production Cost'!F60,'Master Data'!$B$202:$L$202,0)),INDEX('Master Data'!$B$261:$L$314,MATCH('Production Cost'!B60,'Master Data'!$B$261:$B$314,0),MATCH('Production Cost'!F60,'Master Data'!$B$261:$L$261,0)))</f>
        <v>#N/A</v>
      </c>
      <c r="O60" s="115">
        <f t="shared" si="33"/>
        <v>1000</v>
      </c>
      <c r="P60" s="117" t="e">
        <f>+VLOOKUP($N60,'Master Data'!$B:$W,IF(G60="Wholesale",21,22),FALSE)</f>
        <v>#N/A</v>
      </c>
      <c r="Q60" s="164" t="e">
        <f t="shared" si="34"/>
        <v>#N/A</v>
      </c>
      <c r="R60" s="115" t="e">
        <f>IF(G60="Wholesale",'Master Data'!$V$127*$M60,'Master Data'!$W$127*$M60)</f>
        <v>#N/A</v>
      </c>
      <c r="S60" s="115" t="e">
        <f>IF(G60="Wholesale",'Master Data'!$V$111*$M60,'Master Data'!$W$111*$M60)</f>
        <v>#N/A</v>
      </c>
      <c r="T60" s="115">
        <f>IF(F60=1000,'Master Data'!$AF$40,IF(F60=500,'Master Data'!$AF$39,IF(F60=250,'Master Data'!$AF$39,'Master Data'!$AF$38)))</f>
        <v>11.116666666666667</v>
      </c>
      <c r="U60" s="117">
        <f>IF(F60=1000,VLOOKUP($E60,'Master Data'!$B:$W,IF(G60="Wholesale",21,22),FALSE),IF(F60=500,VLOOKUP($E60,'Master Data'!$B:$W,IF(G60="Wholesale",21,22),FALSE)/2,IF(F60=250,VLOOKUP($E60,'Master Data'!$B:$W,IF(G60="Wholesale",21,22),FALSE)/3,IF(F60=100,VLOOKUP($E60,'Master Data'!$B:$W,IF(G60="Wholesale",21,22),FALSE)/4,IF(F60=50,VLOOKUP($E60,'Master Data'!$B:$W,IF(G60="Wholesale",21,22),FALSE)/6,IF(F60=25,VLOOKUP($E60,'Master Data'!$B:$W,IF(G60="Wholesale",21,22),FALSE)/8,VLOOKUP($E60,'Master Data'!$B:$W,IF(G60="Wholesale",21,22),FALSE)/8))))))</f>
        <v>0</v>
      </c>
      <c r="V60" s="117">
        <f>+VLOOKUP($I60,'Master Data'!$B:$V,IF(G60="Wholesale",20,21),FALSE)</f>
        <v>40</v>
      </c>
      <c r="W60" s="144">
        <f>IF(F60=1000,'Master Data'!$AB$32,IF(F60=500,'Master Data'!$AB$33,IF(F60=250,'Master Data'!$AB$34,IF(F60=100,'Master Data'!$AB$35,IF(F60=50,'Master Data'!$AB$36,IF(F60=25,'Master Data'!$AB$37,'Master Data'!$AB$38))))))</f>
        <v>56.550000000000004</v>
      </c>
      <c r="X60" s="115" t="e">
        <f t="shared" si="35"/>
        <v>#N/A</v>
      </c>
      <c r="Y60" s="127" t="e">
        <f t="shared" si="4"/>
        <v>#N/A</v>
      </c>
      <c r="Z60" s="128" t="e">
        <f t="shared" si="36"/>
        <v>#N/A</v>
      </c>
      <c r="AA60" s="127" t="e">
        <f t="shared" si="37"/>
        <v>#N/A</v>
      </c>
      <c r="AB60" s="286" t="e">
        <f t="shared" si="6"/>
        <v>#N/A</v>
      </c>
      <c r="AC60" s="127" t="e">
        <f t="shared" si="7"/>
        <v>#N/A</v>
      </c>
      <c r="AD60" s="287" t="e">
        <f t="shared" si="8"/>
        <v>#N/A</v>
      </c>
    </row>
    <row r="61" spans="1:30" ht="30">
      <c r="A61" s="125">
        <f t="shared" si="9"/>
        <v>59</v>
      </c>
      <c r="B61" s="237" t="s">
        <v>82</v>
      </c>
      <c r="C61" s="121"/>
      <c r="D61" s="126" t="s">
        <v>78</v>
      </c>
      <c r="E61" s="116" t="s">
        <v>295</v>
      </c>
      <c r="F61" s="126">
        <v>1000</v>
      </c>
      <c r="G61" s="126" t="s">
        <v>312</v>
      </c>
      <c r="H61" s="126" t="s">
        <v>320</v>
      </c>
      <c r="I61" s="125" t="s">
        <v>371</v>
      </c>
      <c r="J61" s="116">
        <v>10</v>
      </c>
      <c r="K61" s="117">
        <f>IF(D61="In House Production",INDEX('Master Data'!$H$552:$J$580,MATCH('Production Cost'!B61,'Master Data'!$H$552:$H$580,0),3),VLOOKUP($B61,'Master Data'!$B:$W,IF(G61="Wholesale",21,22),FALSE))</f>
        <v>0.252</v>
      </c>
      <c r="L61" s="115">
        <v>1</v>
      </c>
      <c r="M61" s="115" t="e">
        <f>INDEX('Master Data'!$B$323:$K$376,MATCH('Production Cost'!$B61,'Master Data'!$B$323:$B$376,0),MATCH('Production Cost'!F$3,'Master Data'!$B$323:$K$323,0))</f>
        <v>#N/A</v>
      </c>
      <c r="N61" s="116" t="e">
        <f>IF(H61="Maruthi Plastics",INDEX('Master Data'!$B$202:$L$255,MATCH('Production Cost'!B61,'Master Data'!$B$202:$B$255,0),MATCH('Production Cost'!F61,'Master Data'!$B$202:$L$202,0)),INDEX('Master Data'!$B$261:$L$314,MATCH('Production Cost'!B61,'Master Data'!$B$261:$B$314,0),MATCH('Production Cost'!F61,'Master Data'!$B$261:$L$261,0)))</f>
        <v>#N/A</v>
      </c>
      <c r="O61" s="115">
        <f t="shared" si="33"/>
        <v>1000</v>
      </c>
      <c r="P61" s="117" t="e">
        <f>+VLOOKUP($N61,'Master Data'!$B:$W,IF(G61="Wholesale",21,22),FALSE)</f>
        <v>#N/A</v>
      </c>
      <c r="Q61" s="164" t="e">
        <f t="shared" si="34"/>
        <v>#N/A</v>
      </c>
      <c r="R61" s="115" t="e">
        <f>IF(G61="Wholesale",'Master Data'!$V$127*$M61,'Master Data'!$W$127*$M61)</f>
        <v>#N/A</v>
      </c>
      <c r="S61" s="115" t="e">
        <f>IF(G61="Wholesale",'Master Data'!$V$111*$M61,'Master Data'!$W$111*$M61)</f>
        <v>#N/A</v>
      </c>
      <c r="T61" s="115">
        <f>IF(F61=1000,'Master Data'!$AF$40,IF(F61=500,'Master Data'!$AF$39,IF(F61=250,'Master Data'!$AF$39,'Master Data'!$AF$38)))</f>
        <v>11.116666666666667</v>
      </c>
      <c r="U61" s="117">
        <f>IF(F61=1000,VLOOKUP($E61,'Master Data'!$B:$W,IF(G61="Wholesale",21,22),FALSE),IF(F61=500,VLOOKUP($E61,'Master Data'!$B:$W,IF(G61="Wholesale",21,22),FALSE)/2,IF(F61=250,VLOOKUP($E61,'Master Data'!$B:$W,IF(G61="Wholesale",21,22),FALSE)/3,IF(F61=100,VLOOKUP($E61,'Master Data'!$B:$W,IF(G61="Wholesale",21,22),FALSE)/4,IF(F61=50,VLOOKUP($E61,'Master Data'!$B:$W,IF(G61="Wholesale",21,22),FALSE)/6,IF(F61=25,VLOOKUP($E61,'Master Data'!$B:$W,IF(G61="Wholesale",21,22),FALSE)/8,VLOOKUP($E61,'Master Data'!$B:$W,IF(G61="Wholesale",21,22),FALSE)/8))))))</f>
        <v>0</v>
      </c>
      <c r="V61" s="117">
        <f>+VLOOKUP($I61,'Master Data'!$B:$V,IF(G61="Wholesale",20,21),FALSE)</f>
        <v>40</v>
      </c>
      <c r="W61" s="144">
        <f>IF(F61=1000,'Master Data'!$AB$32,IF(F61=500,'Master Data'!$AB$33,IF(F61=250,'Master Data'!$AB$34,IF(F61=100,'Master Data'!$AB$35,IF(F61=50,'Master Data'!$AB$36,IF(F61=25,'Master Data'!$AB$37,'Master Data'!$AB$38))))))</f>
        <v>56.550000000000004</v>
      </c>
      <c r="X61" s="115" t="e">
        <f t="shared" si="35"/>
        <v>#N/A</v>
      </c>
      <c r="Y61" s="127" t="e">
        <f t="shared" si="4"/>
        <v>#N/A</v>
      </c>
      <c r="Z61" s="128" t="e">
        <f t="shared" si="36"/>
        <v>#N/A</v>
      </c>
      <c r="AA61" s="127" t="e">
        <f t="shared" si="37"/>
        <v>#N/A</v>
      </c>
      <c r="AB61" s="286" t="e">
        <f t="shared" si="6"/>
        <v>#N/A</v>
      </c>
      <c r="AC61" s="127" t="e">
        <f t="shared" si="7"/>
        <v>#N/A</v>
      </c>
      <c r="AD61" s="287" t="e">
        <f t="shared" si="8"/>
        <v>#N/A</v>
      </c>
    </row>
    <row r="62" spans="1:30" ht="30">
      <c r="A62" s="125">
        <f t="shared" si="9"/>
        <v>60</v>
      </c>
      <c r="B62" s="237" t="s">
        <v>87</v>
      </c>
      <c r="C62" s="121"/>
      <c r="D62" s="126" t="s">
        <v>78</v>
      </c>
      <c r="E62" s="116" t="s">
        <v>295</v>
      </c>
      <c r="F62" s="126">
        <v>1000</v>
      </c>
      <c r="G62" s="126" t="s">
        <v>312</v>
      </c>
      <c r="H62" s="126" t="s">
        <v>320</v>
      </c>
      <c r="I62" s="125" t="s">
        <v>371</v>
      </c>
      <c r="J62" s="116">
        <v>10</v>
      </c>
      <c r="K62" s="117">
        <f>IF(D62="In House Production",INDEX('Master Data'!$H$552:$J$580,MATCH('Production Cost'!B62,'Master Data'!$H$552:$H$580,0),3),VLOOKUP($B62,'Master Data'!$B:$W,IF(G62="Wholesale",21,22),FALSE))</f>
        <v>0.17599999999999999</v>
      </c>
      <c r="L62" s="115">
        <v>1</v>
      </c>
      <c r="M62" s="115" t="e">
        <f>INDEX('Master Data'!$B$323:$K$376,MATCH('Production Cost'!$B62,'Master Data'!$B$323:$B$376,0),MATCH('Production Cost'!F$3,'Master Data'!$B$323:$K$323,0))</f>
        <v>#N/A</v>
      </c>
      <c r="N62" s="116" t="e">
        <f>IF(H62="Maruthi Plastics",INDEX('Master Data'!$B$202:$L$255,MATCH('Production Cost'!B62,'Master Data'!$B$202:$B$255,0),MATCH('Production Cost'!F62,'Master Data'!$B$202:$L$202,0)),INDEX('Master Data'!$B$261:$L$314,MATCH('Production Cost'!B62,'Master Data'!$B$261:$B$314,0),MATCH('Production Cost'!F62,'Master Data'!$B$261:$L$261,0)))</f>
        <v>#N/A</v>
      </c>
      <c r="O62" s="115">
        <f t="shared" si="33"/>
        <v>1000</v>
      </c>
      <c r="P62" s="117" t="e">
        <f>+VLOOKUP($N62,'Master Data'!$B:$W,IF(G62="Wholesale",21,22),FALSE)</f>
        <v>#N/A</v>
      </c>
      <c r="Q62" s="164" t="e">
        <f t="shared" si="34"/>
        <v>#N/A</v>
      </c>
      <c r="R62" s="115" t="e">
        <f>IF(G62="Wholesale",'Master Data'!$V$127*$M62,'Master Data'!$W$127*$M62)</f>
        <v>#N/A</v>
      </c>
      <c r="S62" s="115" t="e">
        <f>IF(G62="Wholesale",'Master Data'!$V$111*$M62,'Master Data'!$W$111*$M62)</f>
        <v>#N/A</v>
      </c>
      <c r="T62" s="115">
        <f>IF(F62=1000,'Master Data'!$AF$40,IF(F62=500,'Master Data'!$AF$39,IF(F62=250,'Master Data'!$AF$39,'Master Data'!$AF$38)))</f>
        <v>11.116666666666667</v>
      </c>
      <c r="U62" s="117">
        <f>IF(F62=1000,VLOOKUP($E62,'Master Data'!$B:$W,IF(G62="Wholesale",21,22),FALSE),IF(F62=500,VLOOKUP($E62,'Master Data'!$B:$W,IF(G62="Wholesale",21,22),FALSE)/2,IF(F62=250,VLOOKUP($E62,'Master Data'!$B:$W,IF(G62="Wholesale",21,22),FALSE)/3,IF(F62=100,VLOOKUP($E62,'Master Data'!$B:$W,IF(G62="Wholesale",21,22),FALSE)/4,IF(F62=50,VLOOKUP($E62,'Master Data'!$B:$W,IF(G62="Wholesale",21,22),FALSE)/6,IF(F62=25,VLOOKUP($E62,'Master Data'!$B:$W,IF(G62="Wholesale",21,22),FALSE)/8,VLOOKUP($E62,'Master Data'!$B:$W,IF(G62="Wholesale",21,22),FALSE)/8))))))</f>
        <v>0</v>
      </c>
      <c r="V62" s="117">
        <f>+VLOOKUP($I62,'Master Data'!$B:$V,IF(G62="Wholesale",20,21),FALSE)</f>
        <v>40</v>
      </c>
      <c r="W62" s="144">
        <f>IF(F62=1000,'Master Data'!$AB$32,IF(F62=500,'Master Data'!$AB$33,IF(F62=250,'Master Data'!$AB$34,IF(F62=100,'Master Data'!$AB$35,IF(F62=50,'Master Data'!$AB$36,IF(F62=25,'Master Data'!$AB$37,'Master Data'!$AB$38))))))</f>
        <v>56.550000000000004</v>
      </c>
      <c r="X62" s="115" t="e">
        <f t="shared" si="35"/>
        <v>#N/A</v>
      </c>
      <c r="Y62" s="127" t="e">
        <f t="shared" si="4"/>
        <v>#N/A</v>
      </c>
      <c r="Z62" s="128" t="e">
        <f t="shared" si="36"/>
        <v>#N/A</v>
      </c>
      <c r="AA62" s="127" t="e">
        <f t="shared" si="37"/>
        <v>#N/A</v>
      </c>
      <c r="AB62" s="286" t="e">
        <f t="shared" si="6"/>
        <v>#N/A</v>
      </c>
      <c r="AC62" s="127" t="e">
        <f t="shared" si="7"/>
        <v>#N/A</v>
      </c>
      <c r="AD62" s="287" t="e">
        <f t="shared" si="8"/>
        <v>#N/A</v>
      </c>
    </row>
    <row r="63" spans="1:30" ht="30">
      <c r="A63" s="125">
        <f t="shared" si="9"/>
        <v>61</v>
      </c>
      <c r="B63" s="237" t="s">
        <v>435</v>
      </c>
      <c r="C63" s="121"/>
      <c r="D63" s="126" t="s">
        <v>78</v>
      </c>
      <c r="E63" s="116" t="s">
        <v>295</v>
      </c>
      <c r="F63" s="126">
        <v>1000</v>
      </c>
      <c r="G63" s="126" t="s">
        <v>312</v>
      </c>
      <c r="H63" s="126" t="s">
        <v>320</v>
      </c>
      <c r="I63" s="125" t="s">
        <v>371</v>
      </c>
      <c r="J63" s="116">
        <v>10</v>
      </c>
      <c r="K63" s="117">
        <f>IF(D63="In House Production",INDEX('Master Data'!$H$552:$J$580,MATCH('Production Cost'!B63,'Master Data'!$H$552:$H$580,0),3),VLOOKUP($B63,'Master Data'!$B:$W,IF(G63="Wholesale",21,22),FALSE))</f>
        <v>0.34399999999999997</v>
      </c>
      <c r="L63" s="115">
        <v>1</v>
      </c>
      <c r="M63" s="115" t="e">
        <f>INDEX('Master Data'!$B$323:$K$376,MATCH('Production Cost'!$B63,'Master Data'!$B$323:$B$376,0),MATCH('Production Cost'!F$3,'Master Data'!$B$323:$K$323,0))</f>
        <v>#N/A</v>
      </c>
      <c r="N63" s="116" t="e">
        <f>IF(H63="Maruthi Plastics",INDEX('Master Data'!$B$202:$L$255,MATCH('Production Cost'!B63,'Master Data'!$B$202:$B$255,0),MATCH('Production Cost'!F63,'Master Data'!$B$202:$L$202,0)),INDEX('Master Data'!$B$261:$L$314,MATCH('Production Cost'!B63,'Master Data'!$B$261:$B$314,0),MATCH('Production Cost'!F63,'Master Data'!$B$261:$L$261,0)))</f>
        <v>#N/A</v>
      </c>
      <c r="O63" s="115">
        <f t="shared" si="33"/>
        <v>1000</v>
      </c>
      <c r="P63" s="117" t="e">
        <f>+VLOOKUP($N63,'Master Data'!$B:$W,IF(G63="Wholesale",21,22),FALSE)</f>
        <v>#N/A</v>
      </c>
      <c r="Q63" s="164" t="e">
        <f t="shared" si="34"/>
        <v>#N/A</v>
      </c>
      <c r="R63" s="115" t="e">
        <f>IF(G63="Wholesale",'Master Data'!$V$127*$M63,'Master Data'!$W$127*$M63)</f>
        <v>#N/A</v>
      </c>
      <c r="S63" s="115" t="e">
        <f>IF(G63="Wholesale",'Master Data'!$V$111*$M63,'Master Data'!$W$111*$M63)</f>
        <v>#N/A</v>
      </c>
      <c r="T63" s="115">
        <f>IF(F63=1000,'Master Data'!$AF$40,IF(F63=500,'Master Data'!$AF$39,IF(F63=250,'Master Data'!$AF$39,'Master Data'!$AF$38)))</f>
        <v>11.116666666666667</v>
      </c>
      <c r="U63" s="117">
        <f>IF(F63=1000,VLOOKUP($E63,'Master Data'!$B:$W,IF(G63="Wholesale",21,22),FALSE),IF(F63=500,VLOOKUP($E63,'Master Data'!$B:$W,IF(G63="Wholesale",21,22),FALSE)/2,IF(F63=250,VLOOKUP($E63,'Master Data'!$B:$W,IF(G63="Wholesale",21,22),FALSE)/3,IF(F63=100,VLOOKUP($E63,'Master Data'!$B:$W,IF(G63="Wholesale",21,22),FALSE)/4,IF(F63=50,VLOOKUP($E63,'Master Data'!$B:$W,IF(G63="Wholesale",21,22),FALSE)/6,IF(F63=25,VLOOKUP($E63,'Master Data'!$B:$W,IF(G63="Wholesale",21,22),FALSE)/8,VLOOKUP($E63,'Master Data'!$B:$W,IF(G63="Wholesale",21,22),FALSE)/8))))))</f>
        <v>0</v>
      </c>
      <c r="V63" s="117">
        <f>+VLOOKUP($I63,'Master Data'!$B:$V,IF(G63="Wholesale",20,21),FALSE)</f>
        <v>40</v>
      </c>
      <c r="W63" s="144">
        <f>IF(F63=1000,'Master Data'!$AB$32,IF(F63=500,'Master Data'!$AB$33,IF(F63=250,'Master Data'!$AB$34,IF(F63=100,'Master Data'!$AB$35,IF(F63=50,'Master Data'!$AB$36,IF(F63=25,'Master Data'!$AB$37,'Master Data'!$AB$38))))))</f>
        <v>56.550000000000004</v>
      </c>
      <c r="X63" s="115" t="e">
        <f t="shared" si="35"/>
        <v>#N/A</v>
      </c>
      <c r="Y63" s="127" t="e">
        <f t="shared" si="4"/>
        <v>#N/A</v>
      </c>
      <c r="Z63" s="128" t="e">
        <f t="shared" si="36"/>
        <v>#N/A</v>
      </c>
      <c r="AA63" s="127" t="e">
        <f t="shared" si="37"/>
        <v>#N/A</v>
      </c>
      <c r="AB63" s="286" t="e">
        <f t="shared" si="6"/>
        <v>#N/A</v>
      </c>
      <c r="AC63" s="127" t="e">
        <f t="shared" si="7"/>
        <v>#N/A</v>
      </c>
      <c r="AD63" s="287" t="e">
        <f t="shared" si="8"/>
        <v>#N/A</v>
      </c>
    </row>
    <row r="64" spans="1:30" ht="30">
      <c r="A64" s="125">
        <f t="shared" si="9"/>
        <v>62</v>
      </c>
      <c r="B64" s="121" t="s">
        <v>297</v>
      </c>
      <c r="C64" s="121"/>
      <c r="D64" s="126" t="s">
        <v>78</v>
      </c>
      <c r="E64" s="116" t="s">
        <v>295</v>
      </c>
      <c r="F64" s="126">
        <v>1000</v>
      </c>
      <c r="G64" s="126" t="s">
        <v>312</v>
      </c>
      <c r="H64" s="126" t="s">
        <v>320</v>
      </c>
      <c r="I64" s="125" t="s">
        <v>371</v>
      </c>
      <c r="J64" s="116">
        <v>10</v>
      </c>
      <c r="K64" s="117" t="e">
        <f>IF(D64="In House Production",INDEX('Master Data'!$H$552:$J$580,MATCH('Production Cost'!B64,'Master Data'!$H$552:$H$580,0),3),VLOOKUP($B64,'Master Data'!$B:$W,IF(G64="Wholesale",21,22),FALSE))</f>
        <v>#N/A</v>
      </c>
      <c r="L64" s="115">
        <v>1</v>
      </c>
      <c r="M64" s="115" t="e">
        <f>INDEX('Master Data'!$B$323:$K$376,MATCH('Production Cost'!$B64,'Master Data'!$B$323:$B$376,0),MATCH('Production Cost'!F$3,'Master Data'!$B$323:$K$323,0))</f>
        <v>#N/A</v>
      </c>
      <c r="N64" s="116" t="e">
        <f>IF(H64="Maruthi Plastics",INDEX('Master Data'!$B$202:$L$255,MATCH('Production Cost'!B64,'Master Data'!$B$202:$B$255,0),MATCH('Production Cost'!F64,'Master Data'!$B$202:$L$202,0)),INDEX('Master Data'!$B$261:$L$314,MATCH('Production Cost'!B64,'Master Data'!$B$261:$B$314,0),MATCH('Production Cost'!F64,'Master Data'!$B$261:$L$261,0)))</f>
        <v>#N/A</v>
      </c>
      <c r="O64" s="115">
        <f t="shared" si="33"/>
        <v>1000</v>
      </c>
      <c r="P64" s="117" t="e">
        <f>+VLOOKUP($N64,'Master Data'!$B:$W,IF(G64="Wholesale",21,22),FALSE)</f>
        <v>#N/A</v>
      </c>
      <c r="Q64" s="164" t="e">
        <f t="shared" si="34"/>
        <v>#N/A</v>
      </c>
      <c r="R64" s="115" t="e">
        <f>IF(G64="Wholesale",'Master Data'!$V$127*$M64,'Master Data'!$W$127*$M64)</f>
        <v>#N/A</v>
      </c>
      <c r="S64" s="115" t="e">
        <f>IF(G64="Wholesale",'Master Data'!$V$111*$M64,'Master Data'!$W$111*$M64)</f>
        <v>#N/A</v>
      </c>
      <c r="T64" s="115">
        <f>IF(F64=1000,'Master Data'!$AF$40,IF(F64=500,'Master Data'!$AF$39,IF(F64=250,'Master Data'!$AF$39,'Master Data'!$AF$38)))</f>
        <v>11.116666666666667</v>
      </c>
      <c r="U64" s="117">
        <f>IF(F64=1000,VLOOKUP($E64,'Master Data'!$B:$W,IF(G64="Wholesale",21,22),FALSE),IF(F64=500,VLOOKUP($E64,'Master Data'!$B:$W,IF(G64="Wholesale",21,22),FALSE)/2,IF(F64=250,VLOOKUP($E64,'Master Data'!$B:$W,IF(G64="Wholesale",21,22),FALSE)/3,IF(F64=100,VLOOKUP($E64,'Master Data'!$B:$W,IF(G64="Wholesale",21,22),FALSE)/4,IF(F64=50,VLOOKUP($E64,'Master Data'!$B:$W,IF(G64="Wholesale",21,22),FALSE)/6,IF(F64=25,VLOOKUP($E64,'Master Data'!$B:$W,IF(G64="Wholesale",21,22),FALSE)/8,VLOOKUP($E64,'Master Data'!$B:$W,IF(G64="Wholesale",21,22),FALSE)/8))))))</f>
        <v>0</v>
      </c>
      <c r="V64" s="117">
        <f>+VLOOKUP($I64,'Master Data'!$B:$V,IF(G64="Wholesale",20,21),FALSE)</f>
        <v>40</v>
      </c>
      <c r="W64" s="144">
        <f>IF(F64=1000,'Master Data'!$AB$32,IF(F64=500,'Master Data'!$AB$33,IF(F64=250,'Master Data'!$AB$34,IF(F64=100,'Master Data'!$AB$35,IF(F64=50,'Master Data'!$AB$36,IF(F64=25,'Master Data'!$AB$37,'Master Data'!$AB$38))))))</f>
        <v>56.550000000000004</v>
      </c>
      <c r="X64" s="115" t="e">
        <f t="shared" si="35"/>
        <v>#N/A</v>
      </c>
      <c r="Y64" s="127" t="e">
        <f t="shared" si="4"/>
        <v>#N/A</v>
      </c>
      <c r="Z64" s="128" t="e">
        <f t="shared" si="36"/>
        <v>#N/A</v>
      </c>
      <c r="AA64" s="127" t="e">
        <f t="shared" si="37"/>
        <v>#N/A</v>
      </c>
      <c r="AB64" s="286" t="e">
        <f t="shared" si="6"/>
        <v>#N/A</v>
      </c>
      <c r="AC64" s="127" t="e">
        <f t="shared" si="7"/>
        <v>#N/A</v>
      </c>
      <c r="AD64" s="287" t="e">
        <f t="shared" si="8"/>
        <v>#N/A</v>
      </c>
    </row>
    <row r="65" spans="1:30" ht="30">
      <c r="A65" s="125">
        <f t="shared" si="9"/>
        <v>63</v>
      </c>
      <c r="B65" s="121" t="s">
        <v>298</v>
      </c>
      <c r="C65" s="121"/>
      <c r="D65" s="126" t="s">
        <v>78</v>
      </c>
      <c r="E65" s="116" t="s">
        <v>295</v>
      </c>
      <c r="F65" s="126">
        <v>1000</v>
      </c>
      <c r="G65" s="126" t="s">
        <v>312</v>
      </c>
      <c r="H65" s="126" t="s">
        <v>320</v>
      </c>
      <c r="I65" s="125" t="s">
        <v>371</v>
      </c>
      <c r="J65" s="116">
        <v>10</v>
      </c>
      <c r="K65" s="117" t="e">
        <f>IF(D65="In House Production",INDEX('Master Data'!$H$552:$J$580,MATCH('Production Cost'!B65,'Master Data'!$H$552:$H$580,0),3),VLOOKUP($B65,'Master Data'!$B:$W,IF(G65="Wholesale",21,22),FALSE))</f>
        <v>#N/A</v>
      </c>
      <c r="L65" s="115">
        <v>1</v>
      </c>
      <c r="M65" s="115" t="e">
        <f>INDEX('Master Data'!$B$323:$K$376,MATCH('Production Cost'!$B65,'Master Data'!$B$323:$B$376,0),MATCH('Production Cost'!F$3,'Master Data'!$B$323:$K$323,0))</f>
        <v>#N/A</v>
      </c>
      <c r="N65" s="116" t="e">
        <f>IF(H65="Maruthi Plastics",INDEX('Master Data'!$B$202:$L$255,MATCH('Production Cost'!B65,'Master Data'!$B$202:$B$255,0),MATCH('Production Cost'!F65,'Master Data'!$B$202:$L$202,0)),INDEX('Master Data'!$B$261:$L$314,MATCH('Production Cost'!B65,'Master Data'!$B$261:$B$314,0),MATCH('Production Cost'!F65,'Master Data'!$B$261:$L$261,0)))</f>
        <v>#N/A</v>
      </c>
      <c r="O65" s="115">
        <f t="shared" si="33"/>
        <v>1000</v>
      </c>
      <c r="P65" s="117" t="e">
        <f>+VLOOKUP($N65,'Master Data'!$B:$W,IF(G65="Wholesale",21,22),FALSE)</f>
        <v>#N/A</v>
      </c>
      <c r="Q65" s="164" t="e">
        <f t="shared" si="34"/>
        <v>#N/A</v>
      </c>
      <c r="R65" s="115" t="e">
        <f>IF(G65="Wholesale",'Master Data'!$V$127*$M65,'Master Data'!$W$127*$M65)</f>
        <v>#N/A</v>
      </c>
      <c r="S65" s="115" t="e">
        <f>IF(G65="Wholesale",'Master Data'!$V$111*$M65,'Master Data'!$W$111*$M65)</f>
        <v>#N/A</v>
      </c>
      <c r="T65" s="115">
        <f>IF(F65=1000,'Master Data'!$AF$40,IF(F65=500,'Master Data'!$AF$39,IF(F65=250,'Master Data'!$AF$39,'Master Data'!$AF$38)))</f>
        <v>11.116666666666667</v>
      </c>
      <c r="U65" s="117">
        <f>IF(F65=1000,VLOOKUP($E65,'Master Data'!$B:$W,IF(G65="Wholesale",21,22),FALSE),IF(F65=500,VLOOKUP($E65,'Master Data'!$B:$W,IF(G65="Wholesale",21,22),FALSE)/2,IF(F65=250,VLOOKUP($E65,'Master Data'!$B:$W,IF(G65="Wholesale",21,22),FALSE)/3,IF(F65=100,VLOOKUP($E65,'Master Data'!$B:$W,IF(G65="Wholesale",21,22),FALSE)/4,IF(F65=50,VLOOKUP($E65,'Master Data'!$B:$W,IF(G65="Wholesale",21,22),FALSE)/6,IF(F65=25,VLOOKUP($E65,'Master Data'!$B:$W,IF(G65="Wholesale",21,22),FALSE)/8,VLOOKUP($E65,'Master Data'!$B:$W,IF(G65="Wholesale",21,22),FALSE)/8))))))</f>
        <v>0</v>
      </c>
      <c r="V65" s="117">
        <f>+VLOOKUP($I65,'Master Data'!$B:$V,IF(G65="Wholesale",20,21),FALSE)</f>
        <v>40</v>
      </c>
      <c r="W65" s="144">
        <f>IF(F65=1000,'Master Data'!$AB$32,IF(F65=500,'Master Data'!$AB$33,IF(F65=250,'Master Data'!$AB$34,IF(F65=100,'Master Data'!$AB$35,IF(F65=50,'Master Data'!$AB$36,IF(F65=25,'Master Data'!$AB$37,'Master Data'!$AB$38))))))</f>
        <v>56.550000000000004</v>
      </c>
      <c r="X65" s="115" t="e">
        <f t="shared" si="35"/>
        <v>#N/A</v>
      </c>
      <c r="Y65" s="127" t="e">
        <f t="shared" si="4"/>
        <v>#N/A</v>
      </c>
      <c r="Z65" s="128" t="e">
        <f t="shared" si="36"/>
        <v>#N/A</v>
      </c>
      <c r="AA65" s="127" t="e">
        <f t="shared" si="37"/>
        <v>#N/A</v>
      </c>
      <c r="AB65" s="286" t="e">
        <f t="shared" si="6"/>
        <v>#N/A</v>
      </c>
      <c r="AC65" s="127" t="e">
        <f t="shared" si="7"/>
        <v>#N/A</v>
      </c>
      <c r="AD65" s="287" t="e">
        <f t="shared" si="8"/>
        <v>#N/A</v>
      </c>
    </row>
    <row r="66" spans="1:30" ht="30">
      <c r="A66" s="125">
        <f t="shared" si="9"/>
        <v>64</v>
      </c>
      <c r="B66" s="121" t="s">
        <v>299</v>
      </c>
      <c r="C66" s="121"/>
      <c r="D66" s="126" t="s">
        <v>78</v>
      </c>
      <c r="E66" s="116" t="s">
        <v>295</v>
      </c>
      <c r="F66" s="126">
        <v>1000</v>
      </c>
      <c r="G66" s="126" t="s">
        <v>312</v>
      </c>
      <c r="H66" s="126" t="s">
        <v>320</v>
      </c>
      <c r="I66" s="125" t="s">
        <v>371</v>
      </c>
      <c r="J66" s="116">
        <v>10</v>
      </c>
      <c r="K66" s="117" t="e">
        <f>IF(D66="In House Production",INDEX('Master Data'!$H$552:$J$580,MATCH('Production Cost'!B66,'Master Data'!$H$552:$H$580,0),3),VLOOKUP($B66,'Master Data'!$B:$W,IF(G66="Wholesale",21,22),FALSE))</f>
        <v>#N/A</v>
      </c>
      <c r="L66" s="115">
        <v>1</v>
      </c>
      <c r="M66" s="115" t="e">
        <f>INDEX('Master Data'!$B$323:$K$376,MATCH('Production Cost'!$B66,'Master Data'!$B$323:$B$376,0),MATCH('Production Cost'!F$3,'Master Data'!$B$323:$K$323,0))</f>
        <v>#N/A</v>
      </c>
      <c r="N66" s="116" t="e">
        <f>IF(H66="Maruthi Plastics",INDEX('Master Data'!$B$202:$L$255,MATCH('Production Cost'!B66,'Master Data'!$B$202:$B$255,0),MATCH('Production Cost'!F66,'Master Data'!$B$202:$L$202,0)),INDEX('Master Data'!$B$261:$L$314,MATCH('Production Cost'!B66,'Master Data'!$B$261:$B$314,0),MATCH('Production Cost'!F66,'Master Data'!$B$261:$L$261,0)))</f>
        <v>#N/A</v>
      </c>
      <c r="O66" s="115">
        <f t="shared" si="33"/>
        <v>1000</v>
      </c>
      <c r="P66" s="117" t="e">
        <f>+VLOOKUP($N66,'Master Data'!$B:$W,IF(G66="Wholesale",21,22),FALSE)</f>
        <v>#N/A</v>
      </c>
      <c r="Q66" s="164" t="e">
        <f t="shared" si="34"/>
        <v>#N/A</v>
      </c>
      <c r="R66" s="115" t="e">
        <f>IF(G66="Wholesale",'Master Data'!$V$127*$M66,'Master Data'!$W$127*$M66)</f>
        <v>#N/A</v>
      </c>
      <c r="S66" s="115" t="e">
        <f>IF(G66="Wholesale",'Master Data'!$V$111*$M66,'Master Data'!$W$111*$M66)</f>
        <v>#N/A</v>
      </c>
      <c r="T66" s="115">
        <f>IF(F66=1000,'Master Data'!$AF$40,IF(F66=500,'Master Data'!$AF$39,IF(F66=250,'Master Data'!$AF$39,'Master Data'!$AF$38)))</f>
        <v>11.116666666666667</v>
      </c>
      <c r="U66" s="117">
        <f>IF(F66=1000,VLOOKUP($E66,'Master Data'!$B:$W,IF(G66="Wholesale",21,22),FALSE),IF(F66=500,VLOOKUP($E66,'Master Data'!$B:$W,IF(G66="Wholesale",21,22),FALSE)/2,IF(F66=250,VLOOKUP($E66,'Master Data'!$B:$W,IF(G66="Wholesale",21,22),FALSE)/3,IF(F66=100,VLOOKUP($E66,'Master Data'!$B:$W,IF(G66="Wholesale",21,22),FALSE)/4,IF(F66=50,VLOOKUP($E66,'Master Data'!$B:$W,IF(G66="Wholesale",21,22),FALSE)/6,IF(F66=25,VLOOKUP($E66,'Master Data'!$B:$W,IF(G66="Wholesale",21,22),FALSE)/8,VLOOKUP($E66,'Master Data'!$B:$W,IF(G66="Wholesale",21,22),FALSE)/8))))))</f>
        <v>0</v>
      </c>
      <c r="V66" s="117">
        <f>+VLOOKUP($I66,'Master Data'!$B:$V,IF(G66="Wholesale",20,21),FALSE)</f>
        <v>40</v>
      </c>
      <c r="W66" s="144">
        <f>IF(F66=1000,'Master Data'!$AB$32,IF(F66=500,'Master Data'!$AB$33,IF(F66=250,'Master Data'!$AB$34,IF(F66=100,'Master Data'!$AB$35,IF(F66=50,'Master Data'!$AB$36,IF(F66=25,'Master Data'!$AB$37,'Master Data'!$AB$38))))))</f>
        <v>56.550000000000004</v>
      </c>
      <c r="X66" s="115" t="e">
        <f t="shared" si="35"/>
        <v>#N/A</v>
      </c>
      <c r="Y66" s="127" t="e">
        <f t="shared" si="4"/>
        <v>#N/A</v>
      </c>
      <c r="Z66" s="128" t="e">
        <f t="shared" si="36"/>
        <v>#N/A</v>
      </c>
      <c r="AA66" s="127" t="e">
        <f t="shared" si="37"/>
        <v>#N/A</v>
      </c>
      <c r="AB66" s="286" t="e">
        <f t="shared" si="6"/>
        <v>#N/A</v>
      </c>
      <c r="AC66" s="127" t="e">
        <f t="shared" si="7"/>
        <v>#N/A</v>
      </c>
      <c r="AD66" s="287" t="e">
        <f t="shared" si="8"/>
        <v>#N/A</v>
      </c>
    </row>
    <row r="67" spans="1:30" ht="30">
      <c r="A67" s="125">
        <f t="shared" si="9"/>
        <v>65</v>
      </c>
      <c r="B67" s="121" t="s">
        <v>300</v>
      </c>
      <c r="C67" s="121"/>
      <c r="D67" s="126" t="s">
        <v>78</v>
      </c>
      <c r="E67" s="116" t="s">
        <v>295</v>
      </c>
      <c r="F67" s="126">
        <v>1000</v>
      </c>
      <c r="G67" s="126" t="s">
        <v>312</v>
      </c>
      <c r="H67" s="126" t="s">
        <v>320</v>
      </c>
      <c r="I67" s="125" t="s">
        <v>371</v>
      </c>
      <c r="J67" s="116">
        <v>10</v>
      </c>
      <c r="K67" s="117" t="e">
        <f>IF(D67="In House Production",INDEX('Master Data'!$H$552:$J$580,MATCH('Production Cost'!B67,'Master Data'!$H$552:$H$580,0),3),VLOOKUP($B67,'Master Data'!$B:$W,IF(G67="Wholesale",21,22),FALSE))</f>
        <v>#N/A</v>
      </c>
      <c r="L67" s="115">
        <v>1</v>
      </c>
      <c r="M67" s="115" t="e">
        <f>INDEX('Master Data'!$B$323:$K$376,MATCH('Production Cost'!$B67,'Master Data'!$B$323:$B$376,0),MATCH('Production Cost'!F$3,'Master Data'!$B$323:$K$323,0))</f>
        <v>#N/A</v>
      </c>
      <c r="N67" s="116" t="e">
        <f>IF(H67="Maruthi Plastics",INDEX('Master Data'!$B$202:$L$255,MATCH('Production Cost'!B67,'Master Data'!$B$202:$B$255,0),MATCH('Production Cost'!F67,'Master Data'!$B$202:$L$202,0)),INDEX('Master Data'!$B$261:$L$314,MATCH('Production Cost'!B67,'Master Data'!$B$261:$B$314,0),MATCH('Production Cost'!F67,'Master Data'!$B$261:$L$261,0)))</f>
        <v>#N/A</v>
      </c>
      <c r="O67" s="115">
        <f t="shared" si="33"/>
        <v>1000</v>
      </c>
      <c r="P67" s="117" t="e">
        <f>+VLOOKUP($N67,'Master Data'!$B:$W,IF(G67="Wholesale",21,22),FALSE)</f>
        <v>#N/A</v>
      </c>
      <c r="Q67" s="164" t="e">
        <f t="shared" si="34"/>
        <v>#N/A</v>
      </c>
      <c r="R67" s="115" t="e">
        <f>IF(G67="Wholesale",'Master Data'!$V$127*$M67,'Master Data'!$W$127*$M67)</f>
        <v>#N/A</v>
      </c>
      <c r="S67" s="115" t="e">
        <f>IF(G67="Wholesale",'Master Data'!$V$111*$M67,'Master Data'!$W$111*$M67)</f>
        <v>#N/A</v>
      </c>
      <c r="T67" s="115">
        <f>IF(F67=1000,'Master Data'!$AF$40,IF(F67=500,'Master Data'!$AF$39,IF(F67=250,'Master Data'!$AF$39,'Master Data'!$AF$38)))</f>
        <v>11.116666666666667</v>
      </c>
      <c r="U67" s="117">
        <f>IF(F67=1000,VLOOKUP($E67,'Master Data'!$B:$W,IF(G67="Wholesale",21,22),FALSE),IF(F67=500,VLOOKUP($E67,'Master Data'!$B:$W,IF(G67="Wholesale",21,22),FALSE)/2,IF(F67=250,VLOOKUP($E67,'Master Data'!$B:$W,IF(G67="Wholesale",21,22),FALSE)/3,IF(F67=100,VLOOKUP($E67,'Master Data'!$B:$W,IF(G67="Wholesale",21,22),FALSE)/4,IF(F67=50,VLOOKUP($E67,'Master Data'!$B:$W,IF(G67="Wholesale",21,22),FALSE)/6,IF(F67=25,VLOOKUP($E67,'Master Data'!$B:$W,IF(G67="Wholesale",21,22),FALSE)/8,VLOOKUP($E67,'Master Data'!$B:$W,IF(G67="Wholesale",21,22),FALSE)/8))))))</f>
        <v>0</v>
      </c>
      <c r="V67" s="117">
        <f>+VLOOKUP($I67,'Master Data'!$B:$V,IF(G67="Wholesale",20,21),FALSE)</f>
        <v>40</v>
      </c>
      <c r="W67" s="144">
        <f>IF(F67=1000,'Master Data'!$AB$32,IF(F67=500,'Master Data'!$AB$33,IF(F67=250,'Master Data'!$AB$34,IF(F67=100,'Master Data'!$AB$35,IF(F67=50,'Master Data'!$AB$36,IF(F67=25,'Master Data'!$AB$37,'Master Data'!$AB$38))))))</f>
        <v>56.550000000000004</v>
      </c>
      <c r="X67" s="115" t="e">
        <f t="shared" si="35"/>
        <v>#N/A</v>
      </c>
      <c r="Y67" s="127" t="e">
        <f t="shared" si="4"/>
        <v>#N/A</v>
      </c>
      <c r="Z67" s="128" t="e">
        <f t="shared" si="36"/>
        <v>#N/A</v>
      </c>
      <c r="AA67" s="127" t="e">
        <f t="shared" si="37"/>
        <v>#N/A</v>
      </c>
      <c r="AB67" s="286" t="e">
        <f t="shared" si="6"/>
        <v>#N/A</v>
      </c>
      <c r="AC67" s="127" t="e">
        <f t="shared" si="7"/>
        <v>#N/A</v>
      </c>
      <c r="AD67" s="287" t="e">
        <f t="shared" si="8"/>
        <v>#N/A</v>
      </c>
    </row>
    <row r="68" spans="1:30" ht="30">
      <c r="A68" s="125">
        <f t="shared" si="9"/>
        <v>66</v>
      </c>
      <c r="B68" s="121" t="s">
        <v>301</v>
      </c>
      <c r="C68" s="121"/>
      <c r="D68" s="126" t="s">
        <v>78</v>
      </c>
      <c r="E68" s="116" t="s">
        <v>295</v>
      </c>
      <c r="F68" s="126">
        <v>1000</v>
      </c>
      <c r="G68" s="126" t="s">
        <v>312</v>
      </c>
      <c r="H68" s="126" t="s">
        <v>320</v>
      </c>
      <c r="I68" s="125" t="s">
        <v>371</v>
      </c>
      <c r="J68" s="116">
        <v>10</v>
      </c>
      <c r="K68" s="117" t="e">
        <f>IF(D68="In House Production",INDEX('Master Data'!$H$552:$J$580,MATCH('Production Cost'!B68,'Master Data'!$H$552:$H$580,0),3),VLOOKUP($B68,'Master Data'!$B:$W,IF(G68="Wholesale",21,22),FALSE))</f>
        <v>#N/A</v>
      </c>
      <c r="L68" s="115">
        <v>1</v>
      </c>
      <c r="M68" s="115" t="e">
        <f>INDEX('Master Data'!$B$323:$K$376,MATCH('Production Cost'!$B68,'Master Data'!$B$323:$B$376,0),MATCH('Production Cost'!F$3,'Master Data'!$B$323:$K$323,0))</f>
        <v>#N/A</v>
      </c>
      <c r="N68" s="116" t="e">
        <f>IF(H68="Maruthi Plastics",INDEX('Master Data'!$B$202:$L$255,MATCH('Production Cost'!B68,'Master Data'!$B$202:$B$255,0),MATCH('Production Cost'!F68,'Master Data'!$B$202:$L$202,0)),INDEX('Master Data'!$B$261:$L$314,MATCH('Production Cost'!B68,'Master Data'!$B$261:$B$314,0),MATCH('Production Cost'!F68,'Master Data'!$B$261:$L$261,0)))</f>
        <v>#N/A</v>
      </c>
      <c r="O68" s="115">
        <f t="shared" si="33"/>
        <v>1000</v>
      </c>
      <c r="P68" s="117" t="e">
        <f>+VLOOKUP($N68,'Master Data'!$B:$W,IF(G68="Wholesale",21,22),FALSE)</f>
        <v>#N/A</v>
      </c>
      <c r="Q68" s="164" t="e">
        <f t="shared" si="34"/>
        <v>#N/A</v>
      </c>
      <c r="R68" s="115" t="e">
        <f>IF(G68="Wholesale",'Master Data'!$V$127*$M68,'Master Data'!$W$127*$M68)</f>
        <v>#N/A</v>
      </c>
      <c r="S68" s="115" t="e">
        <f>IF(G68="Wholesale",'Master Data'!$V$111*$M68,'Master Data'!$W$111*$M68)</f>
        <v>#N/A</v>
      </c>
      <c r="T68" s="115">
        <f>IF(F68=1000,'Master Data'!$AF$40,IF(F68=500,'Master Data'!$AF$39,IF(F68=250,'Master Data'!$AF$39,'Master Data'!$AF$38)))</f>
        <v>11.116666666666667</v>
      </c>
      <c r="U68" s="117">
        <f>IF(F68=1000,VLOOKUP($E68,'Master Data'!$B:$W,IF(G68="Wholesale",21,22),FALSE),IF(F68=500,VLOOKUP($E68,'Master Data'!$B:$W,IF(G68="Wholesale",21,22),FALSE)/2,IF(F68=250,VLOOKUP($E68,'Master Data'!$B:$W,IF(G68="Wholesale",21,22),FALSE)/3,IF(F68=100,VLOOKUP($E68,'Master Data'!$B:$W,IF(G68="Wholesale",21,22),FALSE)/4,IF(F68=50,VLOOKUP($E68,'Master Data'!$B:$W,IF(G68="Wholesale",21,22),FALSE)/6,IF(F68=25,VLOOKUP($E68,'Master Data'!$B:$W,IF(G68="Wholesale",21,22),FALSE)/8,VLOOKUP($E68,'Master Data'!$B:$W,IF(G68="Wholesale",21,22),FALSE)/8))))))</f>
        <v>0</v>
      </c>
      <c r="V68" s="117">
        <f>+VLOOKUP($I68,'Master Data'!$B:$V,IF(G68="Wholesale",20,21),FALSE)</f>
        <v>40</v>
      </c>
      <c r="W68" s="144">
        <f>IF(F68=1000,'Master Data'!$AB$32,IF(F68=500,'Master Data'!$AB$33,IF(F68=250,'Master Data'!$AB$34,IF(F68=100,'Master Data'!$AB$35,IF(F68=50,'Master Data'!$AB$36,IF(F68=25,'Master Data'!$AB$37,'Master Data'!$AB$38))))))</f>
        <v>56.550000000000004</v>
      </c>
      <c r="X68" s="115" t="e">
        <f t="shared" si="35"/>
        <v>#N/A</v>
      </c>
      <c r="Y68" s="127" t="e">
        <f t="shared" si="4"/>
        <v>#N/A</v>
      </c>
      <c r="Z68" s="128" t="e">
        <f t="shared" si="36"/>
        <v>#N/A</v>
      </c>
      <c r="AA68" s="127" t="e">
        <f t="shared" si="37"/>
        <v>#N/A</v>
      </c>
      <c r="AB68" s="286" t="e">
        <f t="shared" si="6"/>
        <v>#N/A</v>
      </c>
      <c r="AC68" s="127" t="e">
        <f t="shared" si="7"/>
        <v>#N/A</v>
      </c>
      <c r="AD68" s="287" t="e">
        <f t="shared" si="8"/>
        <v>#N/A</v>
      </c>
    </row>
    <row r="69" spans="1:30" ht="30">
      <c r="A69" s="125">
        <f t="shared" si="9"/>
        <v>67</v>
      </c>
      <c r="B69" s="121" t="s">
        <v>302</v>
      </c>
      <c r="C69" s="121"/>
      <c r="D69" s="126" t="s">
        <v>78</v>
      </c>
      <c r="E69" s="116" t="s">
        <v>295</v>
      </c>
      <c r="F69" s="126">
        <v>1000</v>
      </c>
      <c r="G69" s="126" t="s">
        <v>312</v>
      </c>
      <c r="H69" s="126" t="s">
        <v>320</v>
      </c>
      <c r="I69" s="125" t="s">
        <v>371</v>
      </c>
      <c r="J69" s="116">
        <v>10</v>
      </c>
      <c r="K69" s="117" t="e">
        <f>IF(D69="In House Production",INDEX('Master Data'!$H$552:$J$580,MATCH('Production Cost'!B69,'Master Data'!$H$552:$H$580,0),3),VLOOKUP($B69,'Master Data'!$B:$W,IF(G69="Wholesale",21,22),FALSE))</f>
        <v>#N/A</v>
      </c>
      <c r="L69" s="115">
        <v>1</v>
      </c>
      <c r="M69" s="115" t="e">
        <f>INDEX('Master Data'!$B$323:$K$376,MATCH('Production Cost'!$B69,'Master Data'!$B$323:$B$376,0),MATCH('Production Cost'!F$3,'Master Data'!$B$323:$K$323,0))</f>
        <v>#N/A</v>
      </c>
      <c r="N69" s="116" t="e">
        <f>IF(H69="Maruthi Plastics",INDEX('Master Data'!$B$202:$L$255,MATCH('Production Cost'!B69,'Master Data'!$B$202:$B$255,0),MATCH('Production Cost'!F69,'Master Data'!$B$202:$L$202,0)),INDEX('Master Data'!$B$261:$L$314,MATCH('Production Cost'!B69,'Master Data'!$B$261:$B$314,0),MATCH('Production Cost'!F69,'Master Data'!$B$261:$L$261,0)))</f>
        <v>#N/A</v>
      </c>
      <c r="O69" s="115">
        <f t="shared" si="33"/>
        <v>1000</v>
      </c>
      <c r="P69" s="117" t="e">
        <f>+VLOOKUP($N69,'Master Data'!$B:$W,IF(G69="Wholesale",21,22),FALSE)</f>
        <v>#N/A</v>
      </c>
      <c r="Q69" s="164" t="e">
        <f t="shared" si="34"/>
        <v>#N/A</v>
      </c>
      <c r="R69" s="115" t="e">
        <f>IF(G69="Wholesale",'Master Data'!$V$127*$M69,'Master Data'!$W$127*$M69)</f>
        <v>#N/A</v>
      </c>
      <c r="S69" s="115" t="e">
        <f>IF(G69="Wholesale",'Master Data'!$V$111*$M69,'Master Data'!$W$111*$M69)</f>
        <v>#N/A</v>
      </c>
      <c r="T69" s="115">
        <f>IF(F69=1000,'Master Data'!$AF$40,IF(F69=500,'Master Data'!$AF$39,IF(F69=250,'Master Data'!$AF$39,'Master Data'!$AF$38)))</f>
        <v>11.116666666666667</v>
      </c>
      <c r="U69" s="117">
        <f>IF(F69=1000,VLOOKUP($E69,'Master Data'!$B:$W,IF(G69="Wholesale",21,22),FALSE),IF(F69=500,VLOOKUP($E69,'Master Data'!$B:$W,IF(G69="Wholesale",21,22),FALSE)/2,IF(F69=250,VLOOKUP($E69,'Master Data'!$B:$W,IF(G69="Wholesale",21,22),FALSE)/3,IF(F69=100,VLOOKUP($E69,'Master Data'!$B:$W,IF(G69="Wholesale",21,22),FALSE)/4,IF(F69=50,VLOOKUP($E69,'Master Data'!$B:$W,IF(G69="Wholesale",21,22),FALSE)/6,IF(F69=25,VLOOKUP($E69,'Master Data'!$B:$W,IF(G69="Wholesale",21,22),FALSE)/8,VLOOKUP($E69,'Master Data'!$B:$W,IF(G69="Wholesale",21,22),FALSE)/8))))))</f>
        <v>0</v>
      </c>
      <c r="V69" s="117">
        <f>+VLOOKUP($I69,'Master Data'!$B:$V,IF(G69="Wholesale",20,21),FALSE)</f>
        <v>40</v>
      </c>
      <c r="W69" s="144">
        <f>IF(F69=1000,'Master Data'!$AB$32,IF(F69=500,'Master Data'!$AB$33,IF(F69=250,'Master Data'!$AB$34,IF(F69=100,'Master Data'!$AB$35,IF(F69=50,'Master Data'!$AB$36,IF(F69=25,'Master Data'!$AB$37,'Master Data'!$AB$38))))))</f>
        <v>56.550000000000004</v>
      </c>
      <c r="X69" s="115" t="e">
        <f t="shared" si="35"/>
        <v>#N/A</v>
      </c>
      <c r="Y69" s="127" t="e">
        <f t="shared" si="4"/>
        <v>#N/A</v>
      </c>
      <c r="Z69" s="128" t="e">
        <f t="shared" si="36"/>
        <v>#N/A</v>
      </c>
      <c r="AA69" s="127" t="e">
        <f t="shared" si="37"/>
        <v>#N/A</v>
      </c>
      <c r="AB69" s="286" t="e">
        <f t="shared" si="6"/>
        <v>#N/A</v>
      </c>
      <c r="AC69" s="127" t="e">
        <f t="shared" si="7"/>
        <v>#N/A</v>
      </c>
      <c r="AD69" s="287" t="e">
        <f t="shared" si="8"/>
        <v>#N/A</v>
      </c>
    </row>
    <row r="70" spans="1:30" ht="30">
      <c r="A70" s="125">
        <f t="shared" si="9"/>
        <v>68</v>
      </c>
      <c r="B70" s="121" t="s">
        <v>303</v>
      </c>
      <c r="C70" s="121"/>
      <c r="D70" s="126" t="s">
        <v>78</v>
      </c>
      <c r="E70" s="116" t="s">
        <v>295</v>
      </c>
      <c r="F70" s="126">
        <v>1000</v>
      </c>
      <c r="G70" s="126" t="s">
        <v>312</v>
      </c>
      <c r="H70" s="126" t="s">
        <v>320</v>
      </c>
      <c r="I70" s="125" t="s">
        <v>371</v>
      </c>
      <c r="J70" s="116">
        <v>10</v>
      </c>
      <c r="K70" s="117" t="e">
        <f>IF(D70="In House Production",INDEX('Master Data'!$H$552:$J$580,MATCH('Production Cost'!B70,'Master Data'!$H$552:$H$580,0),3),VLOOKUP($B70,'Master Data'!$B:$W,IF(G70="Wholesale",21,22),FALSE))</f>
        <v>#N/A</v>
      </c>
      <c r="L70" s="115">
        <v>1</v>
      </c>
      <c r="M70" s="115" t="e">
        <f>INDEX('Master Data'!$B$323:$K$376,MATCH('Production Cost'!$B70,'Master Data'!$B$323:$B$376,0),MATCH('Production Cost'!F$3,'Master Data'!$B$323:$K$323,0))</f>
        <v>#N/A</v>
      </c>
      <c r="N70" s="116" t="e">
        <f>IF(H70="Maruthi Plastics",INDEX('Master Data'!$B$202:$L$255,MATCH('Production Cost'!B70,'Master Data'!$B$202:$B$255,0),MATCH('Production Cost'!F70,'Master Data'!$B$202:$L$202,0)),INDEX('Master Data'!$B$261:$L$314,MATCH('Production Cost'!B70,'Master Data'!$B$261:$B$314,0),MATCH('Production Cost'!F70,'Master Data'!$B$261:$L$261,0)))</f>
        <v>#N/A</v>
      </c>
      <c r="O70" s="115">
        <f t="shared" si="33"/>
        <v>1000</v>
      </c>
      <c r="P70" s="117" t="e">
        <f>+VLOOKUP($N70,'Master Data'!$B:$W,IF(G70="Wholesale",21,22),FALSE)</f>
        <v>#N/A</v>
      </c>
      <c r="Q70" s="164" t="e">
        <f t="shared" si="34"/>
        <v>#N/A</v>
      </c>
      <c r="R70" s="115" t="e">
        <f>IF(G70="Wholesale",'Master Data'!$V$127*$M70,'Master Data'!$W$127*$M70)</f>
        <v>#N/A</v>
      </c>
      <c r="S70" s="115" t="e">
        <f>IF(G70="Wholesale",'Master Data'!$V$111*$M70,'Master Data'!$W$111*$M70)</f>
        <v>#N/A</v>
      </c>
      <c r="T70" s="115">
        <f>IF(F70=1000,'Master Data'!$AF$40,IF(F70=500,'Master Data'!$AF$39,IF(F70=250,'Master Data'!$AF$39,'Master Data'!$AF$38)))</f>
        <v>11.116666666666667</v>
      </c>
      <c r="U70" s="117">
        <f>IF(F70=1000,VLOOKUP($E70,'Master Data'!$B:$W,IF(G70="Wholesale",21,22),FALSE),IF(F70=500,VLOOKUP($E70,'Master Data'!$B:$W,IF(G70="Wholesale",21,22),FALSE)/2,IF(F70=250,VLOOKUP($E70,'Master Data'!$B:$W,IF(G70="Wholesale",21,22),FALSE)/3,IF(F70=100,VLOOKUP($E70,'Master Data'!$B:$W,IF(G70="Wholesale",21,22),FALSE)/4,IF(F70=50,VLOOKUP($E70,'Master Data'!$B:$W,IF(G70="Wholesale",21,22),FALSE)/6,IF(F70=25,VLOOKUP($E70,'Master Data'!$B:$W,IF(G70="Wholesale",21,22),FALSE)/8,VLOOKUP($E70,'Master Data'!$B:$W,IF(G70="Wholesale",21,22),FALSE)/8))))))</f>
        <v>0</v>
      </c>
      <c r="V70" s="117">
        <f>+VLOOKUP($I70,'Master Data'!$B:$V,IF(G70="Wholesale",20,21),FALSE)</f>
        <v>40</v>
      </c>
      <c r="W70" s="144">
        <f>IF(F70=1000,'Master Data'!$AB$32,IF(F70=500,'Master Data'!$AB$33,IF(F70=250,'Master Data'!$AB$34,IF(F70=100,'Master Data'!$AB$35,IF(F70=50,'Master Data'!$AB$36,IF(F70=25,'Master Data'!$AB$37,'Master Data'!$AB$38))))))</f>
        <v>56.550000000000004</v>
      </c>
      <c r="X70" s="115" t="e">
        <f t="shared" si="35"/>
        <v>#N/A</v>
      </c>
      <c r="Y70" s="127" t="e">
        <f t="shared" si="4"/>
        <v>#N/A</v>
      </c>
      <c r="Z70" s="128" t="e">
        <f t="shared" si="36"/>
        <v>#N/A</v>
      </c>
      <c r="AA70" s="127" t="e">
        <f t="shared" si="37"/>
        <v>#N/A</v>
      </c>
      <c r="AB70" s="286" t="e">
        <f t="shared" si="6"/>
        <v>#N/A</v>
      </c>
      <c r="AC70" s="127" t="e">
        <f t="shared" si="7"/>
        <v>#N/A</v>
      </c>
      <c r="AD70" s="287" t="e">
        <f t="shared" si="8"/>
        <v>#N/A</v>
      </c>
    </row>
    <row r="71" spans="1:30" ht="30">
      <c r="A71" s="125">
        <f t="shared" si="9"/>
        <v>69</v>
      </c>
      <c r="B71" s="121" t="s">
        <v>304</v>
      </c>
      <c r="C71" s="121"/>
      <c r="D71" s="126" t="s">
        <v>78</v>
      </c>
      <c r="E71" s="116" t="s">
        <v>295</v>
      </c>
      <c r="F71" s="126">
        <v>1000</v>
      </c>
      <c r="G71" s="126" t="s">
        <v>312</v>
      </c>
      <c r="H71" s="126" t="s">
        <v>320</v>
      </c>
      <c r="I71" s="125" t="s">
        <v>371</v>
      </c>
      <c r="J71" s="116">
        <v>10</v>
      </c>
      <c r="K71" s="117" t="e">
        <f>IF(D71="In House Production",INDEX('Master Data'!$H$552:$J$580,MATCH('Production Cost'!B71,'Master Data'!$H$552:$H$580,0),3),VLOOKUP($B71,'Master Data'!$B:$W,IF(G71="Wholesale",21,22),FALSE))</f>
        <v>#N/A</v>
      </c>
      <c r="L71" s="115">
        <v>1</v>
      </c>
      <c r="M71" s="115" t="e">
        <f>INDEX('Master Data'!$B$323:$K$376,MATCH('Production Cost'!$B71,'Master Data'!$B$323:$B$376,0),MATCH('Production Cost'!F$3,'Master Data'!$B$323:$K$323,0))</f>
        <v>#N/A</v>
      </c>
      <c r="N71" s="116" t="e">
        <f>IF(H71="Maruthi Plastics",INDEX('Master Data'!$B$202:$L$255,MATCH('Production Cost'!B71,'Master Data'!$B$202:$B$255,0),MATCH('Production Cost'!F71,'Master Data'!$B$202:$L$202,0)),INDEX('Master Data'!$B$261:$L$314,MATCH('Production Cost'!B71,'Master Data'!$B$261:$B$314,0),MATCH('Production Cost'!F71,'Master Data'!$B$261:$L$261,0)))</f>
        <v>#N/A</v>
      </c>
      <c r="O71" s="115">
        <f t="shared" si="33"/>
        <v>1000</v>
      </c>
      <c r="P71" s="117" t="e">
        <f>+VLOOKUP($N71,'Master Data'!$B:$W,IF(G71="Wholesale",21,22),FALSE)</f>
        <v>#N/A</v>
      </c>
      <c r="Q71" s="164" t="e">
        <f t="shared" si="34"/>
        <v>#N/A</v>
      </c>
      <c r="R71" s="115" t="e">
        <f>IF(G71="Wholesale",'Master Data'!$V$127*$M71,'Master Data'!$W$127*$M71)</f>
        <v>#N/A</v>
      </c>
      <c r="S71" s="115" t="e">
        <f>IF(G71="Wholesale",'Master Data'!$V$111*$M71,'Master Data'!$W$111*$M71)</f>
        <v>#N/A</v>
      </c>
      <c r="T71" s="115">
        <f>IF(F71=1000,'Master Data'!$AF$40,IF(F71=500,'Master Data'!$AF$39,IF(F71=250,'Master Data'!$AF$39,'Master Data'!$AF$38)))</f>
        <v>11.116666666666667</v>
      </c>
      <c r="U71" s="117">
        <f>IF(F71=1000,VLOOKUP($E71,'Master Data'!$B:$W,IF(G71="Wholesale",21,22),FALSE),IF(F71=500,VLOOKUP($E71,'Master Data'!$B:$W,IF(G71="Wholesale",21,22),FALSE)/2,IF(F71=250,VLOOKUP($E71,'Master Data'!$B:$W,IF(G71="Wholesale",21,22),FALSE)/3,IF(F71=100,VLOOKUP($E71,'Master Data'!$B:$W,IF(G71="Wholesale",21,22),FALSE)/4,IF(F71=50,VLOOKUP($E71,'Master Data'!$B:$W,IF(G71="Wholesale",21,22),FALSE)/6,IF(F71=25,VLOOKUP($E71,'Master Data'!$B:$W,IF(G71="Wholesale",21,22),FALSE)/8,VLOOKUP($E71,'Master Data'!$B:$W,IF(G71="Wholesale",21,22),FALSE)/8))))))</f>
        <v>0</v>
      </c>
      <c r="V71" s="117">
        <f>+VLOOKUP($I71,'Master Data'!$B:$V,IF(G71="Wholesale",20,21),FALSE)</f>
        <v>40</v>
      </c>
      <c r="W71" s="144">
        <f>IF(F71=1000,'Master Data'!$AB$32,IF(F71=500,'Master Data'!$AB$33,IF(F71=250,'Master Data'!$AB$34,IF(F71=100,'Master Data'!$AB$35,IF(F71=50,'Master Data'!$AB$36,IF(F71=25,'Master Data'!$AB$37,'Master Data'!$AB$38))))))</f>
        <v>56.550000000000004</v>
      </c>
      <c r="X71" s="115" t="e">
        <f t="shared" si="35"/>
        <v>#N/A</v>
      </c>
      <c r="Y71" s="127" t="e">
        <f t="shared" si="4"/>
        <v>#N/A</v>
      </c>
      <c r="Z71" s="128" t="e">
        <f t="shared" si="36"/>
        <v>#N/A</v>
      </c>
      <c r="AA71" s="127" t="e">
        <f t="shared" si="37"/>
        <v>#N/A</v>
      </c>
      <c r="AB71" s="286" t="e">
        <f t="shared" si="6"/>
        <v>#N/A</v>
      </c>
      <c r="AC71" s="127" t="e">
        <f t="shared" si="7"/>
        <v>#N/A</v>
      </c>
      <c r="AD71" s="287" t="e">
        <f t="shared" si="8"/>
        <v>#N/A</v>
      </c>
    </row>
    <row r="72" spans="1:30" ht="30">
      <c r="A72" s="125">
        <f t="shared" si="9"/>
        <v>70</v>
      </c>
      <c r="B72" s="121" t="s">
        <v>305</v>
      </c>
      <c r="C72" s="121"/>
      <c r="D72" s="126" t="s">
        <v>78</v>
      </c>
      <c r="E72" s="116" t="s">
        <v>295</v>
      </c>
      <c r="F72" s="126">
        <v>1000</v>
      </c>
      <c r="G72" s="126" t="s">
        <v>312</v>
      </c>
      <c r="H72" s="126" t="s">
        <v>320</v>
      </c>
      <c r="I72" s="125" t="s">
        <v>371</v>
      </c>
      <c r="J72" s="116">
        <v>10</v>
      </c>
      <c r="K72" s="117" t="e">
        <f>IF(D72="In House Production",INDEX('Master Data'!$H$552:$J$580,MATCH('Production Cost'!B72,'Master Data'!$H$552:$H$580,0),3),VLOOKUP($B72,'Master Data'!$B:$W,IF(G72="Wholesale",21,22),FALSE))</f>
        <v>#N/A</v>
      </c>
      <c r="L72" s="115">
        <v>1</v>
      </c>
      <c r="M72" s="115" t="e">
        <f>INDEX('Master Data'!$B$323:$K$376,MATCH('Production Cost'!$B72,'Master Data'!$B$323:$B$376,0),MATCH('Production Cost'!F$3,'Master Data'!$B$323:$K$323,0))</f>
        <v>#N/A</v>
      </c>
      <c r="N72" s="116" t="e">
        <f>IF(H72="Maruthi Plastics",INDEX('Master Data'!$B$202:$L$255,MATCH('Production Cost'!B72,'Master Data'!$B$202:$B$255,0),MATCH('Production Cost'!F72,'Master Data'!$B$202:$L$202,0)),INDEX('Master Data'!$B$261:$L$314,MATCH('Production Cost'!B72,'Master Data'!$B$261:$B$314,0),MATCH('Production Cost'!F72,'Master Data'!$B$261:$L$261,0)))</f>
        <v>#N/A</v>
      </c>
      <c r="O72" s="115">
        <f t="shared" ref="O72:O79" si="47">1000/L72</f>
        <v>1000</v>
      </c>
      <c r="P72" s="117" t="e">
        <f>+VLOOKUP($N72,'Master Data'!$B:$W,IF(G72="Wholesale",21,22),FALSE)</f>
        <v>#N/A</v>
      </c>
      <c r="Q72" s="164" t="e">
        <f t="shared" ref="Q72:Q79" si="48">+P72*M72</f>
        <v>#N/A</v>
      </c>
      <c r="R72" s="115" t="e">
        <f>IF(G72="Wholesale",'Master Data'!$V$127*$M72,'Master Data'!$W$127*$M72)</f>
        <v>#N/A</v>
      </c>
      <c r="S72" s="115" t="e">
        <f>IF(G72="Wholesale",'Master Data'!$V$111*$M72,'Master Data'!$W$111*$M72)</f>
        <v>#N/A</v>
      </c>
      <c r="T72" s="115">
        <f>IF(F72=1000,'Master Data'!$AF$40,IF(F72=500,'Master Data'!$AF$39,IF(F72=250,'Master Data'!$AF$39,'Master Data'!$AF$38)))</f>
        <v>11.116666666666667</v>
      </c>
      <c r="U72" s="117">
        <f>IF(F72=1000,VLOOKUP($E72,'Master Data'!$B:$W,IF(G72="Wholesale",21,22),FALSE),IF(F72=500,VLOOKUP($E72,'Master Data'!$B:$W,IF(G72="Wholesale",21,22),FALSE)/2,IF(F72=250,VLOOKUP($E72,'Master Data'!$B:$W,IF(G72="Wholesale",21,22),FALSE)/3,IF(F72=100,VLOOKUP($E72,'Master Data'!$B:$W,IF(G72="Wholesale",21,22),FALSE)/4,IF(F72=50,VLOOKUP($E72,'Master Data'!$B:$W,IF(G72="Wholesale",21,22),FALSE)/6,IF(F72=25,VLOOKUP($E72,'Master Data'!$B:$W,IF(G72="Wholesale",21,22),FALSE)/8,VLOOKUP($E72,'Master Data'!$B:$W,IF(G72="Wholesale",21,22),FALSE)/8))))))</f>
        <v>0</v>
      </c>
      <c r="V72" s="117">
        <f>+VLOOKUP($I72,'Master Data'!$B:$V,IF(G72="Wholesale",20,21),FALSE)</f>
        <v>40</v>
      </c>
      <c r="W72" s="144">
        <f>IF(F72=1000,'Master Data'!$AB$32,IF(F72=500,'Master Data'!$AB$33,IF(F72=250,'Master Data'!$AB$34,IF(F72=100,'Master Data'!$AB$35,IF(F72=50,'Master Data'!$AB$36,IF(F72=25,'Master Data'!$AB$37,'Master Data'!$AB$38))))))</f>
        <v>56.550000000000004</v>
      </c>
      <c r="X72" s="115" t="e">
        <f t="shared" ref="X72:X79" si="49">+((K72*F72)+$Q72+$R72+$U72+S72)*($J72/100)</f>
        <v>#N/A</v>
      </c>
      <c r="Y72" s="127" t="e">
        <f t="shared" si="4"/>
        <v>#N/A</v>
      </c>
      <c r="Z72" s="128" t="e">
        <f t="shared" ref="Z72:Z79" si="50">+Y72/L72</f>
        <v>#N/A</v>
      </c>
      <c r="AA72" s="127" t="e">
        <f t="shared" ref="AA72:AA79" si="51">(F72*K72)+Q72+R72+S72+T72+U72+W72+X72</f>
        <v>#N/A</v>
      </c>
      <c r="AB72" s="286" t="e">
        <f t="shared" si="6"/>
        <v>#N/A</v>
      </c>
      <c r="AC72" s="127" t="e">
        <f t="shared" si="7"/>
        <v>#N/A</v>
      </c>
      <c r="AD72" s="287" t="e">
        <f t="shared" si="8"/>
        <v>#N/A</v>
      </c>
    </row>
    <row r="73" spans="1:30" ht="30">
      <c r="A73" s="125">
        <f t="shared" si="9"/>
        <v>71</v>
      </c>
      <c r="B73" s="121" t="s">
        <v>306</v>
      </c>
      <c r="C73" s="121"/>
      <c r="D73" s="126" t="s">
        <v>78</v>
      </c>
      <c r="E73" s="116" t="s">
        <v>295</v>
      </c>
      <c r="F73" s="126">
        <v>1000</v>
      </c>
      <c r="G73" s="126" t="s">
        <v>312</v>
      </c>
      <c r="H73" s="126" t="s">
        <v>320</v>
      </c>
      <c r="I73" s="125" t="s">
        <v>371</v>
      </c>
      <c r="J73" s="116">
        <v>10</v>
      </c>
      <c r="K73" s="117" t="e">
        <f>IF(D73="In House Production",INDEX('Master Data'!$H$552:$J$580,MATCH('Production Cost'!B73,'Master Data'!$H$552:$H$580,0),3),VLOOKUP($B73,'Master Data'!$B:$W,IF(G73="Wholesale",21,22),FALSE))</f>
        <v>#N/A</v>
      </c>
      <c r="L73" s="115">
        <v>1</v>
      </c>
      <c r="M73" s="115" t="e">
        <f>INDEX('Master Data'!$B$323:$K$376,MATCH('Production Cost'!$B73,'Master Data'!$B$323:$B$376,0),MATCH('Production Cost'!F$3,'Master Data'!$B$323:$K$323,0))</f>
        <v>#N/A</v>
      </c>
      <c r="N73" s="116" t="e">
        <f>IF(H73="Maruthi Plastics",INDEX('Master Data'!$B$202:$L$255,MATCH('Production Cost'!B73,'Master Data'!$B$202:$B$255,0),MATCH('Production Cost'!F73,'Master Data'!$B$202:$L$202,0)),INDEX('Master Data'!$B$261:$L$314,MATCH('Production Cost'!B73,'Master Data'!$B$261:$B$314,0),MATCH('Production Cost'!F73,'Master Data'!$B$261:$L$261,0)))</f>
        <v>#N/A</v>
      </c>
      <c r="O73" s="115">
        <f t="shared" si="47"/>
        <v>1000</v>
      </c>
      <c r="P73" s="117" t="e">
        <f>+VLOOKUP($N73,'Master Data'!$B:$W,IF(G73="Wholesale",21,22),FALSE)</f>
        <v>#N/A</v>
      </c>
      <c r="Q73" s="164" t="e">
        <f t="shared" si="48"/>
        <v>#N/A</v>
      </c>
      <c r="R73" s="115" t="e">
        <f>IF(G73="Wholesale",'Master Data'!$V$127*$M73,'Master Data'!$W$127*$M73)</f>
        <v>#N/A</v>
      </c>
      <c r="S73" s="115" t="e">
        <f>IF(G73="Wholesale",'Master Data'!$V$111*$M73,'Master Data'!$W$111*$M73)</f>
        <v>#N/A</v>
      </c>
      <c r="T73" s="115">
        <f>IF(F73=1000,'Master Data'!$AF$40,IF(F73=500,'Master Data'!$AF$39,IF(F73=250,'Master Data'!$AF$39,'Master Data'!$AF$38)))</f>
        <v>11.116666666666667</v>
      </c>
      <c r="U73" s="117">
        <f>IF(F73=1000,VLOOKUP($E73,'Master Data'!$B:$W,IF(G73="Wholesale",21,22),FALSE),IF(F73=500,VLOOKUP($E73,'Master Data'!$B:$W,IF(G73="Wholesale",21,22),FALSE)/2,IF(F73=250,VLOOKUP($E73,'Master Data'!$B:$W,IF(G73="Wholesale",21,22),FALSE)/3,IF(F73=100,VLOOKUP($E73,'Master Data'!$B:$W,IF(G73="Wholesale",21,22),FALSE)/4,IF(F73=50,VLOOKUP($E73,'Master Data'!$B:$W,IF(G73="Wholesale",21,22),FALSE)/6,IF(F73=25,VLOOKUP($E73,'Master Data'!$B:$W,IF(G73="Wholesale",21,22),FALSE)/8,VLOOKUP($E73,'Master Data'!$B:$W,IF(G73="Wholesale",21,22),FALSE)/8))))))</f>
        <v>0</v>
      </c>
      <c r="V73" s="117">
        <f>+VLOOKUP($I73,'Master Data'!$B:$V,IF(G73="Wholesale",20,21),FALSE)</f>
        <v>40</v>
      </c>
      <c r="W73" s="144">
        <f>IF(F73=1000,'Master Data'!$AB$32,IF(F73=500,'Master Data'!$AB$33,IF(F73=250,'Master Data'!$AB$34,IF(F73=100,'Master Data'!$AB$35,IF(F73=50,'Master Data'!$AB$36,IF(F73=25,'Master Data'!$AB$37,'Master Data'!$AB$38))))))</f>
        <v>56.550000000000004</v>
      </c>
      <c r="X73" s="115" t="e">
        <f t="shared" si="49"/>
        <v>#N/A</v>
      </c>
      <c r="Y73" s="127" t="e">
        <f t="shared" ref="Y73:Y79" si="52">+(F73*K73)+Q73+R73+S73+U73+(IF(F73=1000,V73,IF(F73=500,V73/2,IF(F73=250,V73/4,IF(F73=100,V73/10,IF(F73=50,V73/20,V73/40)))))+X73)</f>
        <v>#N/A</v>
      </c>
      <c r="Z73" s="128" t="e">
        <f t="shared" si="50"/>
        <v>#N/A</v>
      </c>
      <c r="AA73" s="127" t="e">
        <f t="shared" si="51"/>
        <v>#N/A</v>
      </c>
      <c r="AB73" s="286" t="e">
        <f t="shared" ref="AB73:AB79" si="53">+((K73*F73)+$Q73+$R73+$U73+$S73+$T73)*($J73/100)</f>
        <v>#N/A</v>
      </c>
      <c r="AC73" s="127" t="e">
        <f t="shared" ref="AC73:AC79" si="54">(F73*K73)+Q73+R73+S73+T73+U73+AB73</f>
        <v>#N/A</v>
      </c>
      <c r="AD73" s="287" t="e">
        <f t="shared" ref="AD73:AD79" si="55">AC73*1.5</f>
        <v>#N/A</v>
      </c>
    </row>
    <row r="74" spans="1:30" ht="30">
      <c r="A74" s="125">
        <f t="shared" ref="A74:A79" si="56">+A73+1</f>
        <v>72</v>
      </c>
      <c r="B74" s="121" t="s">
        <v>307</v>
      </c>
      <c r="C74" s="121"/>
      <c r="D74" s="126" t="s">
        <v>78</v>
      </c>
      <c r="E74" s="116" t="s">
        <v>295</v>
      </c>
      <c r="F74" s="126">
        <v>1000</v>
      </c>
      <c r="G74" s="126" t="s">
        <v>312</v>
      </c>
      <c r="H74" s="126" t="s">
        <v>320</v>
      </c>
      <c r="I74" s="125" t="s">
        <v>371</v>
      </c>
      <c r="J74" s="116">
        <v>10</v>
      </c>
      <c r="K74" s="117" t="e">
        <f>IF(D74="In House Production",INDEX('Master Data'!$H$552:$J$580,MATCH('Production Cost'!B74,'Master Data'!$H$552:$H$580,0),3),VLOOKUP($B74,'Master Data'!$B:$W,IF(G74="Wholesale",21,22),FALSE))</f>
        <v>#N/A</v>
      </c>
      <c r="L74" s="115">
        <v>1</v>
      </c>
      <c r="M74" s="115" t="e">
        <f>INDEX('Master Data'!$B$323:$K$376,MATCH('Production Cost'!$B74,'Master Data'!$B$323:$B$376,0),MATCH('Production Cost'!F$3,'Master Data'!$B$323:$K$323,0))</f>
        <v>#N/A</v>
      </c>
      <c r="N74" s="116" t="e">
        <f>IF(H74="Maruthi Plastics",INDEX('Master Data'!$B$202:$L$255,MATCH('Production Cost'!B74,'Master Data'!$B$202:$B$255,0),MATCH('Production Cost'!F74,'Master Data'!$B$202:$L$202,0)),INDEX('Master Data'!$B$261:$L$314,MATCH('Production Cost'!B74,'Master Data'!$B$261:$B$314,0),MATCH('Production Cost'!F74,'Master Data'!$B$261:$L$261,0)))</f>
        <v>#N/A</v>
      </c>
      <c r="O74" s="115">
        <f t="shared" si="47"/>
        <v>1000</v>
      </c>
      <c r="P74" s="117" t="e">
        <f>+VLOOKUP($N74,'Master Data'!$B:$W,IF(G74="Wholesale",21,22),FALSE)</f>
        <v>#N/A</v>
      </c>
      <c r="Q74" s="164" t="e">
        <f t="shared" si="48"/>
        <v>#N/A</v>
      </c>
      <c r="R74" s="115" t="e">
        <f>IF(G74="Wholesale",'Master Data'!$V$127*$M74,'Master Data'!$W$127*$M74)</f>
        <v>#N/A</v>
      </c>
      <c r="S74" s="115" t="e">
        <f>IF(G74="Wholesale",'Master Data'!$V$111*$M74,'Master Data'!$W$111*$M74)</f>
        <v>#N/A</v>
      </c>
      <c r="T74" s="115">
        <f>IF(F74=1000,'Master Data'!$AF$40,IF(F74=500,'Master Data'!$AF$39,IF(F74=250,'Master Data'!$AF$39,'Master Data'!$AF$38)))</f>
        <v>11.116666666666667</v>
      </c>
      <c r="U74" s="117">
        <f>IF(F74=1000,VLOOKUP($E74,'Master Data'!$B:$W,IF(G74="Wholesale",21,22),FALSE),IF(F74=500,VLOOKUP($E74,'Master Data'!$B:$W,IF(G74="Wholesale",21,22),FALSE)/2,IF(F74=250,VLOOKUP($E74,'Master Data'!$B:$W,IF(G74="Wholesale",21,22),FALSE)/3,IF(F74=100,VLOOKUP($E74,'Master Data'!$B:$W,IF(G74="Wholesale",21,22),FALSE)/4,IF(F74=50,VLOOKUP($E74,'Master Data'!$B:$W,IF(G74="Wholesale",21,22),FALSE)/6,IF(F74=25,VLOOKUP($E74,'Master Data'!$B:$W,IF(G74="Wholesale",21,22),FALSE)/8,VLOOKUP($E74,'Master Data'!$B:$W,IF(G74="Wholesale",21,22),FALSE)/8))))))</f>
        <v>0</v>
      </c>
      <c r="V74" s="117">
        <f>+VLOOKUP($I74,'Master Data'!$B:$V,IF(G74="Wholesale",20,21),FALSE)</f>
        <v>40</v>
      </c>
      <c r="W74" s="144">
        <f>IF(F74=1000,'Master Data'!$AB$32,IF(F74=500,'Master Data'!$AB$33,IF(F74=250,'Master Data'!$AB$34,IF(F74=100,'Master Data'!$AB$35,IF(F74=50,'Master Data'!$AB$36,IF(F74=25,'Master Data'!$AB$37,'Master Data'!$AB$38))))))</f>
        <v>56.550000000000004</v>
      </c>
      <c r="X74" s="115" t="e">
        <f t="shared" si="49"/>
        <v>#N/A</v>
      </c>
      <c r="Y74" s="127" t="e">
        <f t="shared" si="52"/>
        <v>#N/A</v>
      </c>
      <c r="Z74" s="128" t="e">
        <f t="shared" si="50"/>
        <v>#N/A</v>
      </c>
      <c r="AA74" s="127" t="e">
        <f t="shared" si="51"/>
        <v>#N/A</v>
      </c>
      <c r="AB74" s="286" t="e">
        <f t="shared" si="53"/>
        <v>#N/A</v>
      </c>
      <c r="AC74" s="127" t="e">
        <f t="shared" si="54"/>
        <v>#N/A</v>
      </c>
      <c r="AD74" s="287" t="e">
        <f t="shared" si="55"/>
        <v>#N/A</v>
      </c>
    </row>
    <row r="75" spans="1:30" ht="30">
      <c r="A75" s="125">
        <f t="shared" si="56"/>
        <v>73</v>
      </c>
      <c r="B75" s="119" t="s">
        <v>35</v>
      </c>
      <c r="C75" s="120" t="s">
        <v>154</v>
      </c>
      <c r="D75" s="126" t="str">
        <f>+VLOOKUP($B75,'Master Data'!$B$20:$W$197,2,FALSE)</f>
        <v>Nadha Spices</v>
      </c>
      <c r="E75" s="116" t="s">
        <v>295</v>
      </c>
      <c r="F75" s="126">
        <v>1000</v>
      </c>
      <c r="G75" s="126" t="s">
        <v>312</v>
      </c>
      <c r="H75" s="126" t="s">
        <v>320</v>
      </c>
      <c r="I75" s="125" t="s">
        <v>371</v>
      </c>
      <c r="J75" s="116">
        <v>10</v>
      </c>
      <c r="K75" s="117">
        <f>IF(D75="In House Production",INDEX('Master Data'!$H$552:$J$580,MATCH('Production Cost'!B75,'Master Data'!$H$552:$H$580,0),3),VLOOKUP($B75,'Master Data'!$B:$W,IF(G75="Wholesale",21,22),FALSE))</f>
        <v>3.141</v>
      </c>
      <c r="L75" s="115">
        <v>1</v>
      </c>
      <c r="M75" s="115">
        <f>INDEX('Master Data'!$B$323:$K$376,MATCH('Production Cost'!$B75,'Master Data'!$B$323:$B$376,0),MATCH('Production Cost'!F$3,'Master Data'!$B$323:$K$323,0))</f>
        <v>2</v>
      </c>
      <c r="N75" s="116" t="str">
        <f>IF(H75="Maruthi Plastics",INDEX('Master Data'!$B$202:$L$255,MATCH('Production Cost'!B75,'Master Data'!$B$202:$B$255,0),MATCH('Production Cost'!F75,'Master Data'!$B$202:$L$202,0)),INDEX('Master Data'!$B$261:$L$314,MATCH('Production Cost'!B75,'Master Data'!$B$261:$B$314,0),MATCH('Production Cost'!F75,'Master Data'!$B$261:$L$261,0)))</f>
        <v>One side Transparent Flat Bottom with Zipper (1000Gm)</v>
      </c>
      <c r="O75" s="115">
        <f t="shared" si="47"/>
        <v>1000</v>
      </c>
      <c r="P75" s="117">
        <f>+VLOOKUP($N75,'Master Data'!$B:$W,IF(G75="Wholesale",21,22),FALSE)</f>
        <v>11.94</v>
      </c>
      <c r="Q75" s="164">
        <f t="shared" si="48"/>
        <v>23.88</v>
      </c>
      <c r="R75" s="115">
        <f>IF(G75="Wholesale",'Master Data'!$V$127*$M75,'Master Data'!$W$127*$M75)</f>
        <v>4.4000000000000004</v>
      </c>
      <c r="S75" s="115">
        <f>IF(G75="Wholesale",'Master Data'!$V$111*$M75,'Master Data'!$W$111*$M75)</f>
        <v>6.1538461538461542</v>
      </c>
      <c r="T75" s="115">
        <f>IF(F75=1000,'Master Data'!$AF$40,IF(F75=500,'Master Data'!$AF$39,IF(F75=250,'Master Data'!$AF$39,'Master Data'!$AF$38)))</f>
        <v>11.116666666666667</v>
      </c>
      <c r="U75" s="117">
        <f>IF(F75=1000,VLOOKUP($E75,'Master Data'!$B:$W,IF(G75="Wholesale",21,22),FALSE),IF(F75=500,VLOOKUP($E75,'Master Data'!$B:$W,IF(G75="Wholesale",21,22),FALSE)/2,IF(F75=250,VLOOKUP($E75,'Master Data'!$B:$W,IF(G75="Wholesale",21,22),FALSE)/3,IF(F75=100,VLOOKUP($E75,'Master Data'!$B:$W,IF(G75="Wholesale",21,22),FALSE)/4,IF(F75=50,VLOOKUP($E75,'Master Data'!$B:$W,IF(G75="Wholesale",21,22),FALSE)/6,IF(F75=25,VLOOKUP($E75,'Master Data'!$B:$W,IF(G75="Wholesale",21,22),FALSE)/8,VLOOKUP($E75,'Master Data'!$B:$W,IF(G75="Wholesale",21,22),FALSE)/8))))))</f>
        <v>0</v>
      </c>
      <c r="V75" s="117">
        <f>+VLOOKUP($I75,'Master Data'!$B:$V,IF(G75="Wholesale",20,21),FALSE)</f>
        <v>40</v>
      </c>
      <c r="W75" s="144">
        <f>IF(F75=1000,'Master Data'!$AB$32,IF(F75=500,'Master Data'!$AB$33,IF(F75=250,'Master Data'!$AB$34,IF(F75=100,'Master Data'!$AB$35,IF(F75=50,'Master Data'!$AB$36,IF(F75=25,'Master Data'!$AB$37,'Master Data'!$AB$38))))))</f>
        <v>56.550000000000004</v>
      </c>
      <c r="X75" s="115">
        <f t="shared" si="49"/>
        <v>317.54338461538464</v>
      </c>
      <c r="Y75" s="127">
        <f t="shared" si="52"/>
        <v>3532.977230769231</v>
      </c>
      <c r="Z75" s="128">
        <f t="shared" si="50"/>
        <v>3532.977230769231</v>
      </c>
      <c r="AA75" s="127">
        <f t="shared" si="51"/>
        <v>3560.643897435898</v>
      </c>
      <c r="AB75" s="286">
        <f t="shared" si="53"/>
        <v>318.65505128205132</v>
      </c>
      <c r="AC75" s="127">
        <f t="shared" si="54"/>
        <v>3505.2055641025645</v>
      </c>
      <c r="AD75" s="287">
        <f t="shared" si="55"/>
        <v>5257.8083461538463</v>
      </c>
    </row>
    <row r="76" spans="1:30" ht="30">
      <c r="A76" s="125">
        <f t="shared" si="56"/>
        <v>74</v>
      </c>
      <c r="B76" s="119" t="s">
        <v>46</v>
      </c>
      <c r="C76" s="120" t="s">
        <v>154</v>
      </c>
      <c r="D76" s="126" t="str">
        <f>+VLOOKUP($B76,'Master Data'!$B$20:$W$197,2,FALSE)</f>
        <v>Chandan Enterprise</v>
      </c>
      <c r="E76" s="116" t="s">
        <v>295</v>
      </c>
      <c r="F76" s="126">
        <v>1000</v>
      </c>
      <c r="G76" s="126" t="s">
        <v>312</v>
      </c>
      <c r="H76" s="126" t="s">
        <v>320</v>
      </c>
      <c r="I76" s="125" t="s">
        <v>371</v>
      </c>
      <c r="J76" s="116">
        <v>10</v>
      </c>
      <c r="K76" s="117">
        <f>IF(D76="In House Production",INDEX('Master Data'!$H$552:$J$580,MATCH('Production Cost'!B76,'Master Data'!$H$552:$H$580,0),3),VLOOKUP($B76,'Master Data'!$B:$W,IF(G76="Wholesale",21,22),FALSE))</f>
        <v>0.2135238095238095</v>
      </c>
      <c r="L76" s="115">
        <v>1</v>
      </c>
      <c r="M76" s="115" t="e">
        <f>INDEX('Master Data'!$B$323:$K$376,MATCH('Production Cost'!$B76,'Master Data'!$B$323:$B$376,0),MATCH('Production Cost'!F$3,'Master Data'!$B$323:$K$323,0))</f>
        <v>#N/A</v>
      </c>
      <c r="N76" s="116" t="e">
        <f>IF(H76="Maruthi Plastics",INDEX('Master Data'!$B$202:$L$255,MATCH('Production Cost'!B76,'Master Data'!$B$202:$B$255,0),MATCH('Production Cost'!F76,'Master Data'!$B$202:$L$202,0)),INDEX('Master Data'!$B$261:$L$314,MATCH('Production Cost'!B76,'Master Data'!$B$261:$B$314,0),MATCH('Production Cost'!F76,'Master Data'!$B$261:$L$261,0)))</f>
        <v>#N/A</v>
      </c>
      <c r="O76" s="115">
        <f t="shared" si="47"/>
        <v>1000</v>
      </c>
      <c r="P76" s="117" t="e">
        <f>+VLOOKUP($N76,'Master Data'!$B:$W,IF(G76="Wholesale",21,22),FALSE)</f>
        <v>#N/A</v>
      </c>
      <c r="Q76" s="164" t="e">
        <f t="shared" si="48"/>
        <v>#N/A</v>
      </c>
      <c r="R76" s="115" t="e">
        <f>IF(G76="Wholesale",'Master Data'!$V$127*$M76,'Master Data'!$W$127*$M76)</f>
        <v>#N/A</v>
      </c>
      <c r="S76" s="115" t="e">
        <f>IF(G76="Wholesale",'Master Data'!$V$111*$M76,'Master Data'!$W$111*$M76)</f>
        <v>#N/A</v>
      </c>
      <c r="T76" s="115">
        <f>IF(F76=1000,'Master Data'!$AF$40,IF(F76=500,'Master Data'!$AF$39,IF(F76=250,'Master Data'!$AF$39,'Master Data'!$AF$38)))</f>
        <v>11.116666666666667</v>
      </c>
      <c r="U76" s="117">
        <f>IF(F76=1000,VLOOKUP($E76,'Master Data'!$B:$W,IF(G76="Wholesale",21,22),FALSE),IF(F76=500,VLOOKUP($E76,'Master Data'!$B:$W,IF(G76="Wholesale",21,22),FALSE)/2,IF(F76=250,VLOOKUP($E76,'Master Data'!$B:$W,IF(G76="Wholesale",21,22),FALSE)/3,IF(F76=100,VLOOKUP($E76,'Master Data'!$B:$W,IF(G76="Wholesale",21,22),FALSE)/4,IF(F76=50,VLOOKUP($E76,'Master Data'!$B:$W,IF(G76="Wholesale",21,22),FALSE)/6,IF(F76=25,VLOOKUP($E76,'Master Data'!$B:$W,IF(G76="Wholesale",21,22),FALSE)/8,VLOOKUP($E76,'Master Data'!$B:$W,IF(G76="Wholesale",21,22),FALSE)/8))))))</f>
        <v>0</v>
      </c>
      <c r="V76" s="117">
        <f>+VLOOKUP($I76,'Master Data'!$B:$V,IF(G76="Wholesale",20,21),FALSE)</f>
        <v>40</v>
      </c>
      <c r="W76" s="144">
        <f>IF(F76=1000,'Master Data'!$AB$32,IF(F76=500,'Master Data'!$AB$33,IF(F76=250,'Master Data'!$AB$34,IF(F76=100,'Master Data'!$AB$35,IF(F76=50,'Master Data'!$AB$36,IF(F76=25,'Master Data'!$AB$37,'Master Data'!$AB$38))))))</f>
        <v>56.550000000000004</v>
      </c>
      <c r="X76" s="115" t="e">
        <f t="shared" si="49"/>
        <v>#N/A</v>
      </c>
      <c r="Y76" s="127" t="e">
        <f t="shared" si="52"/>
        <v>#N/A</v>
      </c>
      <c r="Z76" s="128" t="e">
        <f t="shared" si="50"/>
        <v>#N/A</v>
      </c>
      <c r="AA76" s="127" t="e">
        <f t="shared" si="51"/>
        <v>#N/A</v>
      </c>
      <c r="AB76" s="286" t="e">
        <f t="shared" si="53"/>
        <v>#N/A</v>
      </c>
      <c r="AC76" s="127" t="e">
        <f t="shared" si="54"/>
        <v>#N/A</v>
      </c>
      <c r="AD76" s="287" t="e">
        <f t="shared" si="55"/>
        <v>#N/A</v>
      </c>
    </row>
    <row r="77" spans="1:30" ht="30">
      <c r="A77" s="125">
        <f t="shared" si="56"/>
        <v>75</v>
      </c>
      <c r="B77" s="119" t="s">
        <v>87</v>
      </c>
      <c r="C77" s="120" t="s">
        <v>154</v>
      </c>
      <c r="D77" s="126" t="str">
        <f>+VLOOKUP($B77,'Master Data'!$B$20:$W$197,2,FALSE)</f>
        <v>Chandan Enterprise</v>
      </c>
      <c r="E77" s="116" t="s">
        <v>295</v>
      </c>
      <c r="F77" s="126">
        <v>1000</v>
      </c>
      <c r="G77" s="126" t="s">
        <v>312</v>
      </c>
      <c r="H77" s="126" t="s">
        <v>320</v>
      </c>
      <c r="I77" s="125" t="s">
        <v>371</v>
      </c>
      <c r="J77" s="116">
        <v>10</v>
      </c>
      <c r="K77" s="117">
        <f>IF(D77="In House Production",INDEX('Master Data'!$H$552:$J$580,MATCH('Production Cost'!B77,'Master Data'!$H$552:$H$580,0),3),VLOOKUP($B77,'Master Data'!$B:$W,IF(G77="Wholesale",21,22),FALSE))</f>
        <v>0.17599999999999999</v>
      </c>
      <c r="L77" s="115">
        <v>1</v>
      </c>
      <c r="M77" s="115" t="e">
        <f>INDEX('Master Data'!$B$323:$K$376,MATCH('Production Cost'!$B77,'Master Data'!$B$323:$B$376,0),MATCH('Production Cost'!F$3,'Master Data'!$B$323:$K$323,0))</f>
        <v>#N/A</v>
      </c>
      <c r="N77" s="116" t="e">
        <f>IF(H77="Maruthi Plastics",INDEX('Master Data'!$B$202:$L$255,MATCH('Production Cost'!B77,'Master Data'!$B$202:$B$255,0),MATCH('Production Cost'!F77,'Master Data'!$B$202:$L$202,0)),INDEX('Master Data'!$B$261:$L$314,MATCH('Production Cost'!B77,'Master Data'!$B$261:$B$314,0),MATCH('Production Cost'!F77,'Master Data'!$B$261:$L$261,0)))</f>
        <v>#N/A</v>
      </c>
      <c r="O77" s="115">
        <f t="shared" si="47"/>
        <v>1000</v>
      </c>
      <c r="P77" s="117" t="e">
        <f>+VLOOKUP($N77,'Master Data'!$B:$W,IF(G77="Wholesale",21,22),FALSE)</f>
        <v>#N/A</v>
      </c>
      <c r="Q77" s="164" t="e">
        <f t="shared" si="48"/>
        <v>#N/A</v>
      </c>
      <c r="R77" s="115" t="e">
        <f>IF(G77="Wholesale",'Master Data'!$V$127*$M77,'Master Data'!$W$127*$M77)</f>
        <v>#N/A</v>
      </c>
      <c r="S77" s="115" t="e">
        <f>IF(G77="Wholesale",'Master Data'!$V$111*$M77,'Master Data'!$W$111*$M77)</f>
        <v>#N/A</v>
      </c>
      <c r="T77" s="115">
        <f>IF(F77=1000,'Master Data'!$AF$40,IF(F77=500,'Master Data'!$AF$39,IF(F77=250,'Master Data'!$AF$39,'Master Data'!$AF$38)))</f>
        <v>11.116666666666667</v>
      </c>
      <c r="U77" s="117">
        <f>IF(F77=1000,VLOOKUP($E77,'Master Data'!$B:$W,IF(G77="Wholesale",21,22),FALSE),IF(F77=500,VLOOKUP($E77,'Master Data'!$B:$W,IF(G77="Wholesale",21,22),FALSE)/2,IF(F77=250,VLOOKUP($E77,'Master Data'!$B:$W,IF(G77="Wholesale",21,22),FALSE)/3,IF(F77=100,VLOOKUP($E77,'Master Data'!$B:$W,IF(G77="Wholesale",21,22),FALSE)/4,IF(F77=50,VLOOKUP($E77,'Master Data'!$B:$W,IF(G77="Wholesale",21,22),FALSE)/6,IF(F77=25,VLOOKUP($E77,'Master Data'!$B:$W,IF(G77="Wholesale",21,22),FALSE)/8,VLOOKUP($E77,'Master Data'!$B:$W,IF(G77="Wholesale",21,22),FALSE)/8))))))</f>
        <v>0</v>
      </c>
      <c r="V77" s="117">
        <f>+VLOOKUP($I77,'Master Data'!$B:$V,IF(G77="Wholesale",20,21),FALSE)</f>
        <v>40</v>
      </c>
      <c r="W77" s="144">
        <f>IF(F77=1000,'Master Data'!$AB$32,IF(F77=500,'Master Data'!$AB$33,IF(F77=250,'Master Data'!$AB$34,IF(F77=100,'Master Data'!$AB$35,IF(F77=50,'Master Data'!$AB$36,IF(F77=25,'Master Data'!$AB$37,'Master Data'!$AB$38))))))</f>
        <v>56.550000000000004</v>
      </c>
      <c r="X77" s="115" t="e">
        <f t="shared" si="49"/>
        <v>#N/A</v>
      </c>
      <c r="Y77" s="127" t="e">
        <f t="shared" si="52"/>
        <v>#N/A</v>
      </c>
      <c r="Z77" s="128" t="e">
        <f t="shared" si="50"/>
        <v>#N/A</v>
      </c>
      <c r="AA77" s="127" t="e">
        <f t="shared" si="51"/>
        <v>#N/A</v>
      </c>
      <c r="AB77" s="286" t="e">
        <f t="shared" si="53"/>
        <v>#N/A</v>
      </c>
      <c r="AC77" s="127" t="e">
        <f t="shared" si="54"/>
        <v>#N/A</v>
      </c>
      <c r="AD77" s="287" t="e">
        <f t="shared" si="55"/>
        <v>#N/A</v>
      </c>
    </row>
    <row r="78" spans="1:30" ht="45">
      <c r="A78" s="125">
        <f t="shared" si="56"/>
        <v>76</v>
      </c>
      <c r="B78" s="121" t="s">
        <v>37</v>
      </c>
      <c r="C78" s="120" t="s">
        <v>154</v>
      </c>
      <c r="D78" s="126" t="str">
        <f>+VLOOKUP($B78,'Master Data'!$B$20:$W$197,2,FALSE)</f>
        <v>Bharat Arya Aushadhi Bhandar</v>
      </c>
      <c r="E78" s="116" t="s">
        <v>295</v>
      </c>
      <c r="F78" s="126">
        <v>1000</v>
      </c>
      <c r="G78" s="126" t="s">
        <v>312</v>
      </c>
      <c r="H78" s="126" t="s">
        <v>320</v>
      </c>
      <c r="I78" s="125" t="s">
        <v>371</v>
      </c>
      <c r="J78" s="116">
        <v>10</v>
      </c>
      <c r="K78" s="117">
        <f>IF(D78="In House Production",INDEX('Master Data'!$H$552:$J$580,MATCH('Production Cost'!B78,'Master Data'!$H$552:$H$580,0),3),VLOOKUP($B78,'Master Data'!$B:$W,IF(G78="Wholesale",21,22),FALSE))</f>
        <v>0.60399999999999998</v>
      </c>
      <c r="L78" s="115">
        <v>1</v>
      </c>
      <c r="M78" s="115" t="e">
        <f>INDEX('Master Data'!$B$323:$K$376,MATCH('Production Cost'!$B78,'Master Data'!$B$323:$B$376,0),MATCH('Production Cost'!F$3,'Master Data'!$B$323:$K$323,0))</f>
        <v>#N/A</v>
      </c>
      <c r="N78" s="116" t="e">
        <f>IF(H78="Maruthi Plastics",INDEX('Master Data'!$B$202:$L$255,MATCH('Production Cost'!B78,'Master Data'!$B$202:$B$255,0),MATCH('Production Cost'!F78,'Master Data'!$B$202:$L$202,0)),INDEX('Master Data'!$B$261:$L$314,MATCH('Production Cost'!B78,'Master Data'!$B$261:$B$314,0),MATCH('Production Cost'!F78,'Master Data'!$B$261:$L$261,0)))</f>
        <v>#N/A</v>
      </c>
      <c r="O78" s="115">
        <f t="shared" si="47"/>
        <v>1000</v>
      </c>
      <c r="P78" s="117" t="e">
        <f>+VLOOKUP($N78,'Master Data'!$B:$W,IF(G78="Wholesale",21,22),FALSE)</f>
        <v>#N/A</v>
      </c>
      <c r="Q78" s="164" t="e">
        <f t="shared" si="48"/>
        <v>#N/A</v>
      </c>
      <c r="R78" s="115" t="e">
        <f>IF(G78="Wholesale",'Master Data'!$V$127*$M78,'Master Data'!$W$127*$M78)</f>
        <v>#N/A</v>
      </c>
      <c r="S78" s="115" t="e">
        <f>IF(G78="Wholesale",'Master Data'!$V$111*$M78,'Master Data'!$W$111*$M78)</f>
        <v>#N/A</v>
      </c>
      <c r="T78" s="115">
        <f>IF(F78=1000,'Master Data'!$AF$40,IF(F78=500,'Master Data'!$AF$39,IF(F78=250,'Master Data'!$AF$39,'Master Data'!$AF$38)))</f>
        <v>11.116666666666667</v>
      </c>
      <c r="U78" s="117">
        <f>IF(F78=1000,VLOOKUP($E78,'Master Data'!$B:$W,IF(G78="Wholesale",21,22),FALSE),IF(F78=500,VLOOKUP($E78,'Master Data'!$B:$W,IF(G78="Wholesale",21,22),FALSE)/2,IF(F78=250,VLOOKUP($E78,'Master Data'!$B:$W,IF(G78="Wholesale",21,22),FALSE)/3,IF(F78=100,VLOOKUP($E78,'Master Data'!$B:$W,IF(G78="Wholesale",21,22),FALSE)/4,IF(F78=50,VLOOKUP($E78,'Master Data'!$B:$W,IF(G78="Wholesale",21,22),FALSE)/6,IF(F78=25,VLOOKUP($E78,'Master Data'!$B:$W,IF(G78="Wholesale",21,22),FALSE)/8,VLOOKUP($E78,'Master Data'!$B:$W,IF(G78="Wholesale",21,22),FALSE)/8))))))</f>
        <v>0</v>
      </c>
      <c r="V78" s="117">
        <f>+VLOOKUP($I78,'Master Data'!$B:$V,IF(G78="Wholesale",20,21),FALSE)</f>
        <v>40</v>
      </c>
      <c r="W78" s="144">
        <f>IF(F78=1000,'Master Data'!$AB$32,IF(F78=500,'Master Data'!$AB$33,IF(F78=250,'Master Data'!$AB$34,IF(F78=100,'Master Data'!$AB$35,IF(F78=50,'Master Data'!$AB$36,IF(F78=25,'Master Data'!$AB$37,'Master Data'!$AB$38))))))</f>
        <v>56.550000000000004</v>
      </c>
      <c r="X78" s="115" t="e">
        <f t="shared" si="49"/>
        <v>#N/A</v>
      </c>
      <c r="Y78" s="127" t="e">
        <f t="shared" si="52"/>
        <v>#N/A</v>
      </c>
      <c r="Z78" s="128" t="e">
        <f t="shared" si="50"/>
        <v>#N/A</v>
      </c>
      <c r="AA78" s="127" t="e">
        <f t="shared" si="51"/>
        <v>#N/A</v>
      </c>
      <c r="AB78" s="286" t="e">
        <f t="shared" si="53"/>
        <v>#N/A</v>
      </c>
      <c r="AC78" s="127" t="e">
        <f t="shared" si="54"/>
        <v>#N/A</v>
      </c>
      <c r="AD78" s="287" t="e">
        <f t="shared" si="55"/>
        <v>#N/A</v>
      </c>
    </row>
    <row r="79" spans="1:30" ht="30">
      <c r="A79" s="125">
        <f t="shared" si="56"/>
        <v>77</v>
      </c>
      <c r="B79" s="121" t="s">
        <v>91</v>
      </c>
      <c r="C79" s="120" t="s">
        <v>154</v>
      </c>
      <c r="D79" s="126" t="str">
        <f>+VLOOKUP($B79,'Master Data'!$B$20:$W$197,2,FALSE)</f>
        <v>Chandan Enterprise</v>
      </c>
      <c r="E79" s="116" t="s">
        <v>295</v>
      </c>
      <c r="F79" s="126">
        <v>1000</v>
      </c>
      <c r="G79" s="126" t="s">
        <v>312</v>
      </c>
      <c r="H79" s="126" t="s">
        <v>320</v>
      </c>
      <c r="I79" s="125" t="s">
        <v>371</v>
      </c>
      <c r="J79" s="116">
        <v>10</v>
      </c>
      <c r="K79" s="117">
        <f>IF(D79="In House Production",INDEX('Master Data'!$H$552:$J$580,MATCH('Production Cost'!B79,'Master Data'!$H$552:$H$580,0),3),VLOOKUP($B79,'Master Data'!$B:$W,IF(G79="Wholesale",21,22),FALSE))</f>
        <v>0.23257142857142857</v>
      </c>
      <c r="L79" s="115">
        <v>1</v>
      </c>
      <c r="M79" s="115" t="e">
        <f>INDEX('Master Data'!$B$323:$K$376,MATCH('Production Cost'!$B79,'Master Data'!$B$323:$B$376,0),MATCH('Production Cost'!F$3,'Master Data'!$B$323:$K$323,0))</f>
        <v>#N/A</v>
      </c>
      <c r="N79" s="116" t="e">
        <f>IF(H79="Maruthi Plastics",INDEX('Master Data'!$B$202:$L$255,MATCH('Production Cost'!B79,'Master Data'!$B$202:$B$255,0),MATCH('Production Cost'!F79,'Master Data'!$B$202:$L$202,0)),INDEX('Master Data'!$B$261:$L$314,MATCH('Production Cost'!B79,'Master Data'!$B$261:$B$314,0),MATCH('Production Cost'!F79,'Master Data'!$B$261:$L$261,0)))</f>
        <v>#N/A</v>
      </c>
      <c r="O79" s="115">
        <f t="shared" si="47"/>
        <v>1000</v>
      </c>
      <c r="P79" s="117" t="e">
        <f>+VLOOKUP($N79,'Master Data'!$B:$W,IF(G79="Wholesale",21,22),FALSE)</f>
        <v>#N/A</v>
      </c>
      <c r="Q79" s="164" t="e">
        <f t="shared" si="48"/>
        <v>#N/A</v>
      </c>
      <c r="R79" s="115" t="e">
        <f>IF(G79="Wholesale",'Master Data'!$V$127*$M79,'Master Data'!$W$127*$M79)</f>
        <v>#N/A</v>
      </c>
      <c r="S79" s="115" t="e">
        <f>IF(G79="Wholesale",'Master Data'!$V$111*$M79,'Master Data'!$W$111*$M79)</f>
        <v>#N/A</v>
      </c>
      <c r="T79" s="115">
        <f>IF(F79=1000,'Master Data'!$AF$40,IF(F79=500,'Master Data'!$AF$39,IF(F79=250,'Master Data'!$AF$39,'Master Data'!$AF$38)))</f>
        <v>11.116666666666667</v>
      </c>
      <c r="U79" s="117">
        <f>IF(F79=1000,VLOOKUP($E79,'Master Data'!$B:$W,IF(G79="Wholesale",21,22),FALSE),IF(F79=500,VLOOKUP($E79,'Master Data'!$B:$W,IF(G79="Wholesale",21,22),FALSE)/2,IF(F79=250,VLOOKUP($E79,'Master Data'!$B:$W,IF(G79="Wholesale",21,22),FALSE)/3,IF(F79=100,VLOOKUP($E79,'Master Data'!$B:$W,IF(G79="Wholesale",21,22),FALSE)/4,IF(F79=50,VLOOKUP($E79,'Master Data'!$B:$W,IF(G79="Wholesale",21,22),FALSE)/6,IF(F79=25,VLOOKUP($E79,'Master Data'!$B:$W,IF(G79="Wholesale",21,22),FALSE)/8,VLOOKUP($E79,'Master Data'!$B:$W,IF(G79="Wholesale",21,22),FALSE)/8))))))</f>
        <v>0</v>
      </c>
      <c r="V79" s="117">
        <f>+VLOOKUP($I79,'Master Data'!$B:$V,IF(G79="Wholesale",20,21),FALSE)</f>
        <v>40</v>
      </c>
      <c r="W79" s="144">
        <f>IF(F79=1000,'Master Data'!$AB$32,IF(F79=500,'Master Data'!$AB$33,IF(F79=250,'Master Data'!$AB$34,IF(F79=100,'Master Data'!$AB$35,IF(F79=50,'Master Data'!$AB$36,IF(F79=25,'Master Data'!$AB$37,'Master Data'!$AB$38))))))</f>
        <v>56.550000000000004</v>
      </c>
      <c r="X79" s="115" t="e">
        <f t="shared" si="49"/>
        <v>#N/A</v>
      </c>
      <c r="Y79" s="127" t="e">
        <f t="shared" si="52"/>
        <v>#N/A</v>
      </c>
      <c r="Z79" s="128" t="e">
        <f t="shared" si="50"/>
        <v>#N/A</v>
      </c>
      <c r="AA79" s="127" t="e">
        <f t="shared" si="51"/>
        <v>#N/A</v>
      </c>
      <c r="AB79" s="286" t="e">
        <f t="shared" si="53"/>
        <v>#N/A</v>
      </c>
      <c r="AC79" s="127" t="e">
        <f t="shared" si="54"/>
        <v>#N/A</v>
      </c>
      <c r="AD79" s="287" t="e">
        <f t="shared" si="55"/>
        <v>#N/A</v>
      </c>
    </row>
  </sheetData>
  <mergeCells count="1">
    <mergeCell ref="A1:D1"/>
  </mergeCells>
  <conditionalFormatting sqref="F3:F79">
    <cfRule type="cellIs" dxfId="13" priority="4" operator="equal">
      <formula>15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8D1811C-17A4-6242-9F0F-42FF520D3F28}">
          <x14:formula1>
            <xm:f>'Master Data'!$X$1171:$X$1172</xm:f>
          </x14:formula1>
          <xm:sqref>G3:G79</xm:sqref>
        </x14:dataValidation>
        <x14:dataValidation type="list" allowBlank="1" showInputMessage="1" showErrorMessage="1" xr:uid="{E46F3927-DE8B-41F4-8DD6-85C2752B5A4A}">
          <x14:formula1>
            <xm:f>'Master Data'!$O$1171:$O$1176</xm:f>
          </x14:formula1>
          <xm:sqref>L3:L79</xm:sqref>
        </x14:dataValidation>
        <x14:dataValidation type="list" allowBlank="1" showInputMessage="1" showErrorMessage="1" xr:uid="{00F66E17-A14A-4F28-BC0E-78166BB6802F}">
          <x14:formula1>
            <xm:f>'Master Data'!$L$1171:$L$1196</xm:f>
          </x14:formula1>
          <xm:sqref>I3:I79</xm:sqref>
        </x14:dataValidation>
        <x14:dataValidation type="list" allowBlank="1" showInputMessage="1" showErrorMessage="1" xr:uid="{FA0891AC-BDC6-4051-939B-44E7AE83CA65}">
          <x14:formula1>
            <xm:f>'Master Data'!$AG$1171:$AG$1172</xm:f>
          </x14:formula1>
          <xm:sqref>H3:H79</xm:sqref>
        </x14:dataValidation>
        <x14:dataValidation type="list" allowBlank="1" showInputMessage="1" showErrorMessage="1" xr:uid="{54501601-616A-473D-BB69-0F512054AF66}">
          <x14:formula1>
            <xm:f>'Master Data'!$U$1171:$U$1180</xm:f>
          </x14:formula1>
          <xm:sqref>F3:F79</xm:sqref>
        </x14:dataValidation>
        <x14:dataValidation type="list" allowBlank="1" showInputMessage="1" showErrorMessage="1" xr:uid="{E6919174-73D3-0245-B3D2-D7F40FFDE80F}">
          <x14:formula1>
            <xm:f>'Master Data'!$R$1171:$R$1271</xm:f>
          </x14:formula1>
          <xm:sqref>J3:J79</xm:sqref>
        </x14:dataValidation>
        <x14:dataValidation type="list" allowBlank="1" showInputMessage="1" showErrorMessage="1" xr:uid="{DD7AD428-A38D-46E6-829A-B5F00A379912}">
          <x14:formula1>
            <xm:f>'Master Data'!$H$1171:$H$1180</xm:f>
          </x14:formula1>
          <xm:sqref>E3:E79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01C5-74AD-1949-B171-C68C1816DA6E}">
  <dimension ref="A1:U45"/>
  <sheetViews>
    <sheetView topLeftCell="B1" zoomScale="137" zoomScaleNormal="188" workbookViewId="0">
      <selection activeCell="D15" sqref="D15"/>
    </sheetView>
  </sheetViews>
  <sheetFormatPr baseColWidth="10" defaultRowHeight="14"/>
  <cols>
    <col min="2" max="2" width="21.5" customWidth="1"/>
    <col min="3" max="3" width="17.5" customWidth="1"/>
    <col min="4" max="4" width="12" customWidth="1"/>
    <col min="5" max="6" width="12" style="294" customWidth="1"/>
    <col min="7" max="7" width="7.83203125" bestFit="1" customWidth="1"/>
    <col min="8" max="10" width="10.83203125" customWidth="1"/>
    <col min="11" max="11" width="14.83203125" customWidth="1"/>
    <col min="13" max="14" width="10.83203125" style="294"/>
    <col min="15" max="15" width="8.83203125" bestFit="1" customWidth="1"/>
    <col min="16" max="16" width="8" bestFit="1" customWidth="1"/>
    <col min="17" max="17" width="10.6640625" bestFit="1" customWidth="1"/>
  </cols>
  <sheetData>
    <row r="1" spans="1:21" ht="48">
      <c r="A1" s="296" t="s">
        <v>147</v>
      </c>
      <c r="B1" s="307" t="s">
        <v>148</v>
      </c>
      <c r="C1" s="313" t="s">
        <v>461</v>
      </c>
      <c r="D1" s="297" t="s">
        <v>459</v>
      </c>
      <c r="E1" s="297" t="s">
        <v>479</v>
      </c>
      <c r="F1" s="297" t="s">
        <v>481</v>
      </c>
      <c r="G1" s="297" t="s">
        <v>455</v>
      </c>
      <c r="H1" s="297" t="s">
        <v>456</v>
      </c>
      <c r="I1" s="307"/>
      <c r="J1" s="298" t="s">
        <v>482</v>
      </c>
      <c r="K1" s="311" t="s">
        <v>461</v>
      </c>
      <c r="L1" s="297" t="s">
        <v>460</v>
      </c>
      <c r="M1" s="297" t="s">
        <v>480</v>
      </c>
      <c r="N1" s="297" t="s">
        <v>481</v>
      </c>
      <c r="O1" s="297" t="s">
        <v>457</v>
      </c>
      <c r="P1" s="297" t="s">
        <v>458</v>
      </c>
      <c r="Q1" s="298" t="s">
        <v>482</v>
      </c>
    </row>
    <row r="2" spans="1:21" ht="16">
      <c r="A2" s="260">
        <v>1</v>
      </c>
      <c r="B2" s="308" t="s">
        <v>15</v>
      </c>
      <c r="C2" s="314">
        <v>0.84</v>
      </c>
      <c r="D2" s="291">
        <v>4299</v>
      </c>
      <c r="E2" s="295">
        <f t="shared" ref="E2:E44" si="0">D2*C2</f>
        <v>3611.16</v>
      </c>
      <c r="F2" s="295">
        <f>D2-E2</f>
        <v>687.84000000000015</v>
      </c>
      <c r="G2" s="289">
        <v>4200.1583461538467</v>
      </c>
      <c r="H2" s="290">
        <v>3069</v>
      </c>
      <c r="I2" s="322"/>
      <c r="J2" s="299">
        <f>G2-H2</f>
        <v>1131.1583461538467</v>
      </c>
      <c r="K2" s="312">
        <v>0.84</v>
      </c>
      <c r="L2" s="288">
        <v>2579</v>
      </c>
      <c r="M2" s="295">
        <f t="shared" ref="M2:M36" si="1">L2*K2</f>
        <v>2166.36</v>
      </c>
      <c r="N2" s="295">
        <f>L2-M2</f>
        <v>412.63999999999987</v>
      </c>
      <c r="O2" s="288">
        <v>2100.0791730769233</v>
      </c>
      <c r="P2" s="290">
        <v>1849</v>
      </c>
      <c r="Q2" s="299">
        <f>O2-P2</f>
        <v>251.07917307692333</v>
      </c>
      <c r="S2" s="292"/>
      <c r="T2" s="292"/>
      <c r="U2" s="292"/>
    </row>
    <row r="3" spans="1:21" ht="16">
      <c r="A3" s="260">
        <f>+A2+1</f>
        <v>2</v>
      </c>
      <c r="B3" s="309" t="s">
        <v>35</v>
      </c>
      <c r="C3" s="314">
        <v>0.87</v>
      </c>
      <c r="D3" s="291">
        <v>4999</v>
      </c>
      <c r="E3" s="295">
        <f t="shared" si="0"/>
        <v>4349.13</v>
      </c>
      <c r="F3" s="295">
        <f t="shared" ref="F3:F44" si="2">D3-E3</f>
        <v>649.86999999999989</v>
      </c>
      <c r="G3" s="289">
        <v>4942.6583461538467</v>
      </c>
      <c r="H3" s="290">
        <v>4549</v>
      </c>
      <c r="I3" s="322">
        <f>(1.05*H3)+56.55</f>
        <v>4833</v>
      </c>
      <c r="J3" s="299">
        <f t="shared" ref="J3:J44" si="3">G3-H3</f>
        <v>393.65834615384665</v>
      </c>
      <c r="K3" s="312">
        <v>0.87</v>
      </c>
      <c r="L3" s="288">
        <v>2999</v>
      </c>
      <c r="M3" s="295">
        <f t="shared" si="1"/>
        <v>2609.13</v>
      </c>
      <c r="N3" s="295">
        <f t="shared" ref="N3:N44" si="4">L3-M3</f>
        <v>389.86999999999989</v>
      </c>
      <c r="O3" s="288">
        <v>2471.3291730769233</v>
      </c>
      <c r="P3" s="290">
        <v>2729</v>
      </c>
      <c r="Q3" s="299">
        <f t="shared" ref="Q3:Q44" si="5">O3-P3</f>
        <v>-257.67082692307667</v>
      </c>
      <c r="S3" s="197"/>
      <c r="T3" s="293"/>
      <c r="U3" s="197"/>
    </row>
    <row r="4" spans="1:21" ht="32">
      <c r="A4" s="260">
        <f t="shared" ref="A4:A44" si="6">+A3+1</f>
        <v>3</v>
      </c>
      <c r="B4" s="309" t="s">
        <v>543</v>
      </c>
      <c r="C4" s="314">
        <v>0.8</v>
      </c>
      <c r="D4" s="291">
        <v>949</v>
      </c>
      <c r="E4" s="295">
        <f t="shared" si="0"/>
        <v>759.2</v>
      </c>
      <c r="F4" s="295">
        <f t="shared" si="2"/>
        <v>189.79999999999995</v>
      </c>
      <c r="G4" s="289">
        <v>492.66419230769242</v>
      </c>
      <c r="H4" s="290">
        <v>809</v>
      </c>
      <c r="I4" s="322"/>
      <c r="J4" s="299">
        <f t="shared" si="3"/>
        <v>-316.33580769230758</v>
      </c>
      <c r="K4" s="312">
        <v>0.8</v>
      </c>
      <c r="L4" s="288">
        <v>569</v>
      </c>
      <c r="M4" s="295">
        <f t="shared" si="1"/>
        <v>455.20000000000005</v>
      </c>
      <c r="N4" s="295">
        <f t="shared" si="4"/>
        <v>113.79999999999995</v>
      </c>
      <c r="O4" s="288">
        <v>217.92417307692304</v>
      </c>
      <c r="P4" s="290">
        <v>489</v>
      </c>
      <c r="Q4" s="299">
        <f t="shared" si="5"/>
        <v>-271.07582692307699</v>
      </c>
      <c r="S4" s="197"/>
      <c r="T4" s="293"/>
      <c r="U4" s="197"/>
    </row>
    <row r="5" spans="1:21" ht="16">
      <c r="A5" s="260">
        <f t="shared" si="6"/>
        <v>4</v>
      </c>
      <c r="B5" s="309" t="s">
        <v>1</v>
      </c>
      <c r="C5" s="314">
        <v>0.85</v>
      </c>
      <c r="D5" s="291">
        <v>2099</v>
      </c>
      <c r="E5" s="295">
        <f t="shared" si="0"/>
        <v>1784.1499999999999</v>
      </c>
      <c r="F5" s="295">
        <f t="shared" si="2"/>
        <v>314.85000000000014</v>
      </c>
      <c r="G5" s="289">
        <v>1972.6583461538462</v>
      </c>
      <c r="H5" s="290">
        <v>1509</v>
      </c>
      <c r="I5" s="322"/>
      <c r="J5" s="299">
        <f t="shared" si="3"/>
        <v>463.6583461538462</v>
      </c>
      <c r="K5" s="312">
        <v>0.85</v>
      </c>
      <c r="L5" s="288">
        <v>1259</v>
      </c>
      <c r="M5" s="295">
        <f t="shared" si="1"/>
        <v>1070.1499999999999</v>
      </c>
      <c r="N5" s="295">
        <f t="shared" si="4"/>
        <v>188.85000000000014</v>
      </c>
      <c r="O5" s="288">
        <v>986.3291730769231</v>
      </c>
      <c r="P5" s="290">
        <v>909</v>
      </c>
      <c r="Q5" s="299">
        <f t="shared" si="5"/>
        <v>77.329173076923098</v>
      </c>
      <c r="S5" s="197"/>
      <c r="T5" s="293"/>
      <c r="U5" s="197"/>
    </row>
    <row r="6" spans="1:21" ht="16">
      <c r="A6" s="260">
        <f t="shared" si="6"/>
        <v>5</v>
      </c>
      <c r="B6" s="309" t="s">
        <v>158</v>
      </c>
      <c r="C6" s="314">
        <v>0.83</v>
      </c>
      <c r="D6" s="291">
        <v>699</v>
      </c>
      <c r="E6" s="295">
        <f t="shared" si="0"/>
        <v>580.16999999999996</v>
      </c>
      <c r="F6" s="295">
        <f t="shared" si="2"/>
        <v>118.83000000000004</v>
      </c>
      <c r="G6" s="289">
        <v>451.41419230769225</v>
      </c>
      <c r="H6" s="290">
        <v>509</v>
      </c>
      <c r="I6" s="322"/>
      <c r="J6" s="299">
        <f t="shared" si="3"/>
        <v>-57.585807692307753</v>
      </c>
      <c r="K6" s="312">
        <v>0.83</v>
      </c>
      <c r="L6" s="288">
        <v>419</v>
      </c>
      <c r="M6" s="295">
        <f t="shared" si="1"/>
        <v>347.77</v>
      </c>
      <c r="N6" s="295">
        <f t="shared" si="4"/>
        <v>71.230000000000018</v>
      </c>
      <c r="O6" s="288">
        <v>225.70709615384612</v>
      </c>
      <c r="P6" s="290">
        <v>309</v>
      </c>
      <c r="Q6" s="299">
        <f t="shared" si="5"/>
        <v>-83.292903846153877</v>
      </c>
      <c r="S6" s="197"/>
      <c r="T6" s="293"/>
      <c r="U6" s="197"/>
    </row>
    <row r="7" spans="1:21" ht="32">
      <c r="A7" s="260">
        <f t="shared" si="6"/>
        <v>6</v>
      </c>
      <c r="B7" s="309" t="s">
        <v>5</v>
      </c>
      <c r="C7" s="314">
        <v>0.87</v>
      </c>
      <c r="D7" s="291">
        <v>1899</v>
      </c>
      <c r="E7" s="295">
        <f t="shared" si="0"/>
        <v>1652.1299999999999</v>
      </c>
      <c r="F7" s="295">
        <f t="shared" si="2"/>
        <v>246.87000000000012</v>
      </c>
      <c r="G7" s="289">
        <v>1790.4991923076918</v>
      </c>
      <c r="H7" s="290">
        <v>1599</v>
      </c>
      <c r="I7" s="322"/>
      <c r="J7" s="299">
        <f t="shared" si="3"/>
        <v>191.49919230769183</v>
      </c>
      <c r="K7" s="312">
        <v>0.87</v>
      </c>
      <c r="L7" s="288">
        <v>1139</v>
      </c>
      <c r="M7" s="295">
        <f t="shared" si="1"/>
        <v>990.93</v>
      </c>
      <c r="N7" s="295">
        <f t="shared" si="4"/>
        <v>148.07000000000005</v>
      </c>
      <c r="O7" s="288">
        <v>895.24959615384591</v>
      </c>
      <c r="P7" s="290">
        <v>959</v>
      </c>
      <c r="Q7" s="299">
        <f t="shared" si="5"/>
        <v>-63.750403846154086</v>
      </c>
      <c r="S7" s="197"/>
      <c r="T7" s="293"/>
      <c r="U7" s="197"/>
    </row>
    <row r="8" spans="1:21" ht="16">
      <c r="A8" s="260">
        <f t="shared" si="6"/>
        <v>7</v>
      </c>
      <c r="B8" s="309" t="s">
        <v>161</v>
      </c>
      <c r="C8" s="314">
        <v>0.83</v>
      </c>
      <c r="D8" s="291">
        <v>989</v>
      </c>
      <c r="E8" s="295">
        <f t="shared" si="0"/>
        <v>820.87</v>
      </c>
      <c r="F8" s="295">
        <f t="shared" si="2"/>
        <v>168.13</v>
      </c>
      <c r="G8" s="289">
        <v>1138.7381923076921</v>
      </c>
      <c r="H8" s="290">
        <v>609</v>
      </c>
      <c r="I8" s="322"/>
      <c r="J8" s="299">
        <f t="shared" si="3"/>
        <v>529.73819230769209</v>
      </c>
      <c r="K8" s="312">
        <v>0.83</v>
      </c>
      <c r="L8" s="288">
        <v>599</v>
      </c>
      <c r="M8" s="295">
        <f t="shared" si="1"/>
        <v>497.16999999999996</v>
      </c>
      <c r="N8" s="295">
        <f t="shared" si="4"/>
        <v>101.83000000000004</v>
      </c>
      <c r="O8" s="288">
        <v>569.36909615384604</v>
      </c>
      <c r="P8" s="290">
        <v>369</v>
      </c>
      <c r="Q8" s="299">
        <f t="shared" si="5"/>
        <v>200.36909615384604</v>
      </c>
      <c r="S8" s="197"/>
      <c r="T8" s="293"/>
      <c r="U8" s="197"/>
    </row>
    <row r="9" spans="1:21" ht="32">
      <c r="A9" s="260">
        <f t="shared" si="6"/>
        <v>8</v>
      </c>
      <c r="B9" s="309" t="s">
        <v>163</v>
      </c>
      <c r="C9" s="314">
        <v>0.82</v>
      </c>
      <c r="D9" s="291">
        <v>989</v>
      </c>
      <c r="E9" s="295">
        <f t="shared" si="0"/>
        <v>810.9799999999999</v>
      </c>
      <c r="F9" s="295">
        <f t="shared" si="2"/>
        <v>178.0200000000001</v>
      </c>
      <c r="G9" s="289">
        <v>1072.7381923076921</v>
      </c>
      <c r="H9" s="290">
        <v>799</v>
      </c>
      <c r="I9" s="322"/>
      <c r="J9" s="299">
        <f t="shared" si="3"/>
        <v>273.73819230769209</v>
      </c>
      <c r="K9" s="312">
        <v>0.82</v>
      </c>
      <c r="L9" s="288">
        <v>599</v>
      </c>
      <c r="M9" s="295">
        <f t="shared" si="1"/>
        <v>491.17999999999995</v>
      </c>
      <c r="N9" s="295">
        <f t="shared" si="4"/>
        <v>107.82000000000005</v>
      </c>
      <c r="O9" s="288">
        <v>536.36909615384604</v>
      </c>
      <c r="P9" s="290">
        <v>479</v>
      </c>
      <c r="Q9" s="299">
        <f t="shared" si="5"/>
        <v>57.369096153846044</v>
      </c>
      <c r="S9" s="197"/>
      <c r="T9" s="293"/>
      <c r="U9" s="197"/>
    </row>
    <row r="10" spans="1:21" ht="16">
      <c r="A10" s="260">
        <f t="shared" si="6"/>
        <v>9</v>
      </c>
      <c r="B10" s="309" t="s">
        <v>0</v>
      </c>
      <c r="C10" s="314">
        <v>0.83</v>
      </c>
      <c r="D10" s="291">
        <v>1599</v>
      </c>
      <c r="E10" s="295">
        <f t="shared" si="0"/>
        <v>1327.1699999999998</v>
      </c>
      <c r="F10" s="295">
        <f t="shared" si="2"/>
        <v>271.83000000000015</v>
      </c>
      <c r="G10" s="289">
        <v>1366.7504230769232</v>
      </c>
      <c r="H10" s="290">
        <v>1259</v>
      </c>
      <c r="I10" s="322"/>
      <c r="J10" s="299">
        <f t="shared" si="3"/>
        <v>107.7504230769232</v>
      </c>
      <c r="K10" s="312">
        <v>0.83</v>
      </c>
      <c r="L10" s="288">
        <v>969</v>
      </c>
      <c r="M10" s="295">
        <f t="shared" si="1"/>
        <v>804.27</v>
      </c>
      <c r="N10" s="295">
        <f t="shared" si="4"/>
        <v>164.73000000000002</v>
      </c>
      <c r="O10" s="288">
        <v>691.82067307692307</v>
      </c>
      <c r="P10" s="290">
        <v>759</v>
      </c>
      <c r="Q10" s="299">
        <f t="shared" si="5"/>
        <v>-67.179326923076928</v>
      </c>
      <c r="S10" s="197"/>
      <c r="T10" s="293"/>
      <c r="U10" s="197"/>
    </row>
    <row r="11" spans="1:21" ht="16">
      <c r="A11" s="260">
        <f t="shared" si="6"/>
        <v>10</v>
      </c>
      <c r="B11" s="309" t="s">
        <v>2</v>
      </c>
      <c r="C11" s="314">
        <v>0.76</v>
      </c>
      <c r="D11" s="291">
        <v>389</v>
      </c>
      <c r="E11" s="295">
        <f t="shared" si="0"/>
        <v>295.64</v>
      </c>
      <c r="F11" s="295">
        <f t="shared" si="2"/>
        <v>93.360000000000014</v>
      </c>
      <c r="G11" s="289">
        <v>392.12334615384623</v>
      </c>
      <c r="H11" s="290">
        <v>319</v>
      </c>
      <c r="I11" s="322"/>
      <c r="J11" s="299">
        <f t="shared" si="3"/>
        <v>73.123346153846228</v>
      </c>
      <c r="K11" s="312">
        <v>0.76</v>
      </c>
      <c r="L11" s="288">
        <v>239</v>
      </c>
      <c r="M11" s="295">
        <f t="shared" si="1"/>
        <v>181.64000000000001</v>
      </c>
      <c r="N11" s="295">
        <f t="shared" si="4"/>
        <v>57.359999999999985</v>
      </c>
      <c r="O11" s="288">
        <v>196.06167307692311</v>
      </c>
      <c r="P11" s="290">
        <v>209</v>
      </c>
      <c r="Q11" s="299">
        <f t="shared" si="5"/>
        <v>-12.938326923076886</v>
      </c>
      <c r="S11" s="197"/>
      <c r="T11" s="293"/>
      <c r="U11" s="197"/>
    </row>
    <row r="12" spans="1:21" ht="16">
      <c r="A12" s="260">
        <f t="shared" si="6"/>
        <v>11</v>
      </c>
      <c r="B12" s="309" t="s">
        <v>3</v>
      </c>
      <c r="C12" s="314">
        <v>0.79</v>
      </c>
      <c r="D12" s="291">
        <v>659</v>
      </c>
      <c r="E12" s="295">
        <f t="shared" si="0"/>
        <v>520.61</v>
      </c>
      <c r="F12" s="295">
        <f t="shared" si="2"/>
        <v>138.38999999999999</v>
      </c>
      <c r="G12" s="289">
        <v>548.51542307692307</v>
      </c>
      <c r="H12" s="290">
        <v>539</v>
      </c>
      <c r="I12" s="322"/>
      <c r="J12" s="299">
        <f t="shared" si="3"/>
        <v>9.5154230769230708</v>
      </c>
      <c r="K12" s="312">
        <v>0.79</v>
      </c>
      <c r="L12" s="288">
        <v>389</v>
      </c>
      <c r="M12" s="295">
        <f t="shared" si="1"/>
        <v>307.31</v>
      </c>
      <c r="N12" s="295">
        <f t="shared" si="4"/>
        <v>81.69</v>
      </c>
      <c r="O12" s="288">
        <v>282.70317307692306</v>
      </c>
      <c r="P12" s="290">
        <v>339</v>
      </c>
      <c r="Q12" s="299">
        <f t="shared" si="5"/>
        <v>-56.296826923076935</v>
      </c>
      <c r="S12" s="197"/>
      <c r="T12" s="293"/>
      <c r="U12" s="197"/>
    </row>
    <row r="13" spans="1:21" ht="16">
      <c r="A13" s="260">
        <f t="shared" si="6"/>
        <v>12</v>
      </c>
      <c r="B13" s="309" t="s">
        <v>41</v>
      </c>
      <c r="C13" s="314">
        <v>0.76</v>
      </c>
      <c r="D13" s="291">
        <v>289</v>
      </c>
      <c r="E13" s="295">
        <f t="shared" si="0"/>
        <v>219.64000000000001</v>
      </c>
      <c r="F13" s="295">
        <f t="shared" si="2"/>
        <v>69.359999999999985</v>
      </c>
      <c r="G13" s="289">
        <v>264.715423076923</v>
      </c>
      <c r="H13" s="290">
        <v>209</v>
      </c>
      <c r="I13" s="322"/>
      <c r="J13" s="299">
        <f t="shared" si="3"/>
        <v>55.715423076923003</v>
      </c>
      <c r="K13" s="312">
        <v>0.76</v>
      </c>
      <c r="L13" s="288">
        <v>169</v>
      </c>
      <c r="M13" s="295">
        <f t="shared" si="1"/>
        <v>128.44</v>
      </c>
      <c r="N13" s="295">
        <f t="shared" si="4"/>
        <v>40.56</v>
      </c>
      <c r="O13" s="288">
        <v>140.80317307692309</v>
      </c>
      <c r="P13" s="290">
        <v>129</v>
      </c>
      <c r="Q13" s="299">
        <f t="shared" si="5"/>
        <v>11.803173076923088</v>
      </c>
      <c r="S13" s="197"/>
      <c r="T13" s="293"/>
      <c r="U13" s="197"/>
    </row>
    <row r="14" spans="1:21" ht="16">
      <c r="A14" s="260">
        <f t="shared" si="6"/>
        <v>13</v>
      </c>
      <c r="B14" s="308" t="s">
        <v>16</v>
      </c>
      <c r="C14" s="314">
        <v>0.88</v>
      </c>
      <c r="D14" s="291">
        <v>4299</v>
      </c>
      <c r="E14" s="295">
        <f t="shared" si="0"/>
        <v>3783.12</v>
      </c>
      <c r="F14" s="295">
        <f t="shared" si="2"/>
        <v>515.88000000000011</v>
      </c>
      <c r="G14" s="289">
        <v>4653.2491923076932</v>
      </c>
      <c r="H14" s="290">
        <v>3859</v>
      </c>
      <c r="I14" s="322"/>
      <c r="J14" s="299">
        <f t="shared" si="3"/>
        <v>794.24919230769319</v>
      </c>
      <c r="K14" s="312">
        <v>0.88</v>
      </c>
      <c r="L14" s="288">
        <v>2579</v>
      </c>
      <c r="M14" s="295">
        <f t="shared" si="1"/>
        <v>2269.52</v>
      </c>
      <c r="N14" s="295">
        <f t="shared" si="4"/>
        <v>309.48</v>
      </c>
      <c r="O14" s="288">
        <v>2326.6245961538466</v>
      </c>
      <c r="P14" s="290">
        <v>2319</v>
      </c>
      <c r="Q14" s="299">
        <f t="shared" si="5"/>
        <v>7.6245961538465963</v>
      </c>
      <c r="S14" s="197"/>
      <c r="T14" s="293"/>
      <c r="U14" s="197"/>
    </row>
    <row r="15" spans="1:21" ht="16">
      <c r="A15" s="260">
        <f t="shared" si="6"/>
        <v>14</v>
      </c>
      <c r="B15" s="308" t="s">
        <v>12</v>
      </c>
      <c r="C15" s="314">
        <v>0.87</v>
      </c>
      <c r="D15" s="291">
        <v>1799</v>
      </c>
      <c r="E15" s="295">
        <f t="shared" si="0"/>
        <v>1565.1299999999999</v>
      </c>
      <c r="F15" s="295">
        <f t="shared" si="2"/>
        <v>233.87000000000012</v>
      </c>
      <c r="G15" s="289">
        <v>1449.2504230769232</v>
      </c>
      <c r="H15" s="290">
        <v>1459</v>
      </c>
      <c r="I15" s="322"/>
      <c r="J15" s="299">
        <f t="shared" si="3"/>
        <v>-9.7495769230768019</v>
      </c>
      <c r="K15" s="312">
        <v>0.87</v>
      </c>
      <c r="L15" s="288">
        <v>1089</v>
      </c>
      <c r="M15" s="295">
        <f t="shared" si="1"/>
        <v>947.43</v>
      </c>
      <c r="N15" s="295">
        <f t="shared" si="4"/>
        <v>141.57000000000005</v>
      </c>
      <c r="O15" s="288">
        <v>733.07067307692307</v>
      </c>
      <c r="P15" s="290">
        <v>875</v>
      </c>
      <c r="Q15" s="299">
        <f t="shared" si="5"/>
        <v>-141.92932692307693</v>
      </c>
      <c r="S15" s="197"/>
      <c r="T15" s="293"/>
      <c r="U15" s="197"/>
    </row>
    <row r="16" spans="1:21" ht="16">
      <c r="A16" s="260">
        <f t="shared" si="6"/>
        <v>15</v>
      </c>
      <c r="B16" s="308" t="s">
        <v>13</v>
      </c>
      <c r="C16" s="314">
        <v>0.85</v>
      </c>
      <c r="D16" s="291">
        <v>2099</v>
      </c>
      <c r="E16" s="295">
        <f t="shared" si="0"/>
        <v>1784.1499999999999</v>
      </c>
      <c r="F16" s="295">
        <f t="shared" si="2"/>
        <v>314.85000000000014</v>
      </c>
      <c r="G16" s="289">
        <v>1210.4141923076922</v>
      </c>
      <c r="H16" s="290">
        <v>1349</v>
      </c>
      <c r="I16" s="322"/>
      <c r="J16" s="299">
        <f t="shared" si="3"/>
        <v>-138.58580769230775</v>
      </c>
      <c r="K16" s="312">
        <v>0.85</v>
      </c>
      <c r="L16" s="288">
        <v>1259</v>
      </c>
      <c r="M16" s="295">
        <f t="shared" si="1"/>
        <v>1070.1499999999999</v>
      </c>
      <c r="N16" s="295">
        <f t="shared" si="4"/>
        <v>188.85000000000014</v>
      </c>
      <c r="O16" s="288">
        <v>605.20709615384612</v>
      </c>
      <c r="P16" s="290">
        <v>809</v>
      </c>
      <c r="Q16" s="299">
        <f t="shared" si="5"/>
        <v>-203.79290384615388</v>
      </c>
      <c r="S16" s="197"/>
      <c r="T16" s="293"/>
      <c r="U16" s="197"/>
    </row>
    <row r="17" spans="1:21" ht="16">
      <c r="A17" s="260">
        <f t="shared" si="6"/>
        <v>16</v>
      </c>
      <c r="B17" s="309" t="s">
        <v>172</v>
      </c>
      <c r="C17" s="314">
        <v>0.83</v>
      </c>
      <c r="D17" s="291">
        <v>1899</v>
      </c>
      <c r="E17" s="295">
        <f t="shared" si="0"/>
        <v>1576.1699999999998</v>
      </c>
      <c r="F17" s="295">
        <f t="shared" si="2"/>
        <v>322.83000000000015</v>
      </c>
      <c r="G17" s="289">
        <v>1522.1639230769233</v>
      </c>
      <c r="H17" s="290">
        <v>1529</v>
      </c>
      <c r="I17" s="322"/>
      <c r="J17" s="299">
        <f t="shared" si="3"/>
        <v>-6.8360769230766891</v>
      </c>
      <c r="K17" s="312">
        <v>0.83</v>
      </c>
      <c r="L17" s="288">
        <v>1139</v>
      </c>
      <c r="M17" s="295">
        <f t="shared" si="1"/>
        <v>945.37</v>
      </c>
      <c r="N17" s="295">
        <f t="shared" si="4"/>
        <v>193.63</v>
      </c>
      <c r="O17" s="288">
        <v>773.41812307692317</v>
      </c>
      <c r="P17" s="290">
        <v>919</v>
      </c>
      <c r="Q17" s="299">
        <f t="shared" si="5"/>
        <v>-145.58187692307683</v>
      </c>
      <c r="S17" s="197"/>
      <c r="T17" s="293"/>
      <c r="U17" s="197"/>
    </row>
    <row r="18" spans="1:21" ht="16">
      <c r="A18" s="260">
        <f t="shared" si="6"/>
        <v>17</v>
      </c>
      <c r="B18" s="309" t="s">
        <v>174</v>
      </c>
      <c r="C18" s="314">
        <v>0.76</v>
      </c>
      <c r="D18" s="291">
        <v>429</v>
      </c>
      <c r="E18" s="295">
        <f t="shared" si="0"/>
        <v>326.04000000000002</v>
      </c>
      <c r="F18" s="295">
        <f t="shared" si="2"/>
        <v>102.95999999999998</v>
      </c>
      <c r="G18" s="289">
        <v>411.91192307692307</v>
      </c>
      <c r="H18" s="290">
        <v>359</v>
      </c>
      <c r="I18" s="322"/>
      <c r="J18" s="299">
        <f t="shared" si="3"/>
        <v>52.911923076923074</v>
      </c>
      <c r="K18" s="312">
        <v>0.76</v>
      </c>
      <c r="L18" s="288">
        <v>259</v>
      </c>
      <c r="M18" s="295">
        <f t="shared" si="1"/>
        <v>196.84</v>
      </c>
      <c r="N18" s="295">
        <f t="shared" si="4"/>
        <v>62.16</v>
      </c>
      <c r="O18" s="288">
        <v>214.40142307692309</v>
      </c>
      <c r="P18" s="290">
        <v>219</v>
      </c>
      <c r="Q18" s="299">
        <f t="shared" si="5"/>
        <v>-4.5985769230769051</v>
      </c>
      <c r="S18" s="197"/>
      <c r="T18" s="293"/>
      <c r="U18" s="197"/>
    </row>
    <row r="19" spans="1:21" ht="16">
      <c r="A19" s="260">
        <f t="shared" si="6"/>
        <v>18</v>
      </c>
      <c r="B19" s="309" t="s">
        <v>176</v>
      </c>
      <c r="C19" s="314">
        <v>0.79</v>
      </c>
      <c r="D19" s="291">
        <v>679</v>
      </c>
      <c r="E19" s="295">
        <f t="shared" si="0"/>
        <v>536.41</v>
      </c>
      <c r="F19" s="295">
        <f t="shared" si="2"/>
        <v>142.59000000000003</v>
      </c>
      <c r="G19" s="289">
        <v>615.19192307692333</v>
      </c>
      <c r="H19" s="290">
        <v>599</v>
      </c>
      <c r="I19" s="322"/>
      <c r="J19" s="299">
        <f t="shared" si="3"/>
        <v>16.191923076923331</v>
      </c>
      <c r="K19" s="312">
        <v>0.79</v>
      </c>
      <c r="L19" s="288">
        <v>419</v>
      </c>
      <c r="M19" s="295">
        <f t="shared" si="1"/>
        <v>331.01</v>
      </c>
      <c r="N19" s="295">
        <f t="shared" si="4"/>
        <v>87.990000000000009</v>
      </c>
      <c r="O19" s="288">
        <v>316.04142307692314</v>
      </c>
      <c r="P19" s="290">
        <v>359</v>
      </c>
      <c r="Q19" s="299">
        <f t="shared" si="5"/>
        <v>-42.958576923076862</v>
      </c>
      <c r="S19" s="197"/>
      <c r="T19" s="293"/>
      <c r="U19" s="197"/>
    </row>
    <row r="20" spans="1:21" ht="32">
      <c r="A20" s="260">
        <f t="shared" si="6"/>
        <v>19</v>
      </c>
      <c r="B20" s="309" t="s">
        <v>228</v>
      </c>
      <c r="C20" s="314">
        <v>0.79</v>
      </c>
      <c r="D20" s="291">
        <v>479</v>
      </c>
      <c r="E20" s="295">
        <f t="shared" si="0"/>
        <v>378.41</v>
      </c>
      <c r="F20" s="295">
        <f t="shared" si="2"/>
        <v>100.58999999999997</v>
      </c>
      <c r="G20" s="289">
        <v>452.56792307692308</v>
      </c>
      <c r="H20" s="290">
        <v>409</v>
      </c>
      <c r="I20" s="322"/>
      <c r="J20" s="299">
        <f t="shared" si="3"/>
        <v>43.56792307692308</v>
      </c>
      <c r="K20" s="312">
        <v>0.79</v>
      </c>
      <c r="L20" s="288">
        <v>289</v>
      </c>
      <c r="M20" s="295">
        <f t="shared" si="1"/>
        <v>228.31</v>
      </c>
      <c r="N20" s="295">
        <f t="shared" si="4"/>
        <v>60.69</v>
      </c>
      <c r="O20" s="288">
        <v>234.72942307692301</v>
      </c>
      <c r="P20" s="290">
        <v>249</v>
      </c>
      <c r="Q20" s="299">
        <f t="shared" si="5"/>
        <v>-14.270576923076987</v>
      </c>
      <c r="S20" s="197"/>
      <c r="T20" s="293"/>
      <c r="U20" s="197"/>
    </row>
    <row r="21" spans="1:21" ht="32">
      <c r="A21" s="260">
        <f t="shared" si="6"/>
        <v>20</v>
      </c>
      <c r="B21" s="309" t="s">
        <v>179</v>
      </c>
      <c r="C21" s="314">
        <v>0.83</v>
      </c>
      <c r="D21" s="291">
        <v>499</v>
      </c>
      <c r="E21" s="295">
        <f t="shared" si="0"/>
        <v>414.16999999999996</v>
      </c>
      <c r="F21" s="295">
        <f t="shared" si="2"/>
        <v>84.830000000000041</v>
      </c>
      <c r="G21" s="289">
        <v>509.01442307692309</v>
      </c>
      <c r="H21" s="290">
        <v>439</v>
      </c>
      <c r="I21" s="322"/>
      <c r="J21" s="299">
        <f t="shared" si="3"/>
        <v>70.014423076923094</v>
      </c>
      <c r="K21" s="312">
        <v>0.83</v>
      </c>
      <c r="L21" s="288">
        <v>299</v>
      </c>
      <c r="M21" s="295">
        <f t="shared" si="1"/>
        <v>248.17</v>
      </c>
      <c r="N21" s="295">
        <f t="shared" si="4"/>
        <v>50.830000000000013</v>
      </c>
      <c r="O21" s="288">
        <v>262.95267307692302</v>
      </c>
      <c r="P21" s="290">
        <v>269</v>
      </c>
      <c r="Q21" s="299">
        <f t="shared" si="5"/>
        <v>-6.0473269230769802</v>
      </c>
      <c r="S21" s="197"/>
      <c r="T21" s="293"/>
      <c r="U21" s="197"/>
    </row>
    <row r="22" spans="1:21" ht="32">
      <c r="A22" s="260">
        <f t="shared" si="6"/>
        <v>21</v>
      </c>
      <c r="B22" s="309" t="s">
        <v>181</v>
      </c>
      <c r="C22" s="314">
        <v>0.83</v>
      </c>
      <c r="D22" s="291">
        <v>499</v>
      </c>
      <c r="E22" s="295">
        <f t="shared" si="0"/>
        <v>414.16999999999996</v>
      </c>
      <c r="F22" s="295">
        <f t="shared" si="2"/>
        <v>84.830000000000041</v>
      </c>
      <c r="G22" s="289">
        <v>517.26442307692309</v>
      </c>
      <c r="H22" s="290">
        <v>399</v>
      </c>
      <c r="I22" s="322"/>
      <c r="J22" s="299">
        <f t="shared" si="3"/>
        <v>118.26442307692309</v>
      </c>
      <c r="K22" s="312">
        <v>0.83</v>
      </c>
      <c r="L22" s="288">
        <v>299</v>
      </c>
      <c r="M22" s="295">
        <f t="shared" si="1"/>
        <v>248.17</v>
      </c>
      <c r="N22" s="295">
        <f t="shared" si="4"/>
        <v>50.830000000000013</v>
      </c>
      <c r="O22" s="288">
        <v>267.07767307692302</v>
      </c>
      <c r="P22" s="290">
        <v>249</v>
      </c>
      <c r="Q22" s="299">
        <f t="shared" si="5"/>
        <v>18.07767307692302</v>
      </c>
      <c r="S22" s="197"/>
      <c r="T22" s="293"/>
      <c r="U22" s="197"/>
    </row>
    <row r="23" spans="1:21" ht="32">
      <c r="A23" s="260">
        <f t="shared" si="6"/>
        <v>22</v>
      </c>
      <c r="B23" s="309" t="s">
        <v>183</v>
      </c>
      <c r="C23" s="314">
        <v>0.83</v>
      </c>
      <c r="D23" s="291">
        <v>499</v>
      </c>
      <c r="E23" s="295">
        <f t="shared" si="0"/>
        <v>414.16999999999996</v>
      </c>
      <c r="F23" s="295">
        <f t="shared" si="2"/>
        <v>84.830000000000041</v>
      </c>
      <c r="G23" s="289">
        <v>509.01442307692309</v>
      </c>
      <c r="H23" s="290">
        <v>389</v>
      </c>
      <c r="I23" s="322"/>
      <c r="J23" s="299">
        <f t="shared" si="3"/>
        <v>120.01442307692309</v>
      </c>
      <c r="K23" s="312">
        <v>0.83</v>
      </c>
      <c r="L23" s="288">
        <v>299</v>
      </c>
      <c r="M23" s="295">
        <f t="shared" si="1"/>
        <v>248.17</v>
      </c>
      <c r="N23" s="295">
        <f t="shared" si="4"/>
        <v>50.830000000000013</v>
      </c>
      <c r="O23" s="288">
        <v>262.95267307692302</v>
      </c>
      <c r="P23" s="290">
        <v>239</v>
      </c>
      <c r="Q23" s="299">
        <f t="shared" si="5"/>
        <v>23.95267307692302</v>
      </c>
      <c r="S23" s="197"/>
      <c r="T23" s="293"/>
      <c r="U23" s="197"/>
    </row>
    <row r="24" spans="1:21" ht="32">
      <c r="A24" s="260">
        <f t="shared" si="6"/>
        <v>23</v>
      </c>
      <c r="B24" s="309" t="s">
        <v>185</v>
      </c>
      <c r="C24" s="314">
        <v>0.82</v>
      </c>
      <c r="D24" s="291">
        <v>799</v>
      </c>
      <c r="E24" s="295">
        <f t="shared" si="0"/>
        <v>655.17999999999995</v>
      </c>
      <c r="F24" s="295">
        <f t="shared" si="2"/>
        <v>143.82000000000005</v>
      </c>
      <c r="G24" s="289">
        <v>1037.0144230769233</v>
      </c>
      <c r="H24" s="290">
        <v>589</v>
      </c>
      <c r="I24" s="322"/>
      <c r="J24" s="299">
        <f t="shared" si="3"/>
        <v>448.01442307692332</v>
      </c>
      <c r="K24" s="312">
        <v>0.82</v>
      </c>
      <c r="L24" s="288">
        <v>479</v>
      </c>
      <c r="M24" s="295">
        <f t="shared" si="1"/>
        <v>392.78</v>
      </c>
      <c r="N24" s="295">
        <f t="shared" si="4"/>
        <v>86.220000000000027</v>
      </c>
      <c r="O24" s="288">
        <v>526.95267307692302</v>
      </c>
      <c r="P24" s="290">
        <v>359</v>
      </c>
      <c r="Q24" s="299">
        <f t="shared" si="5"/>
        <v>167.95267307692302</v>
      </c>
      <c r="S24" s="197"/>
      <c r="T24" s="293"/>
      <c r="U24" s="197"/>
    </row>
    <row r="25" spans="1:21" ht="16">
      <c r="A25" s="260">
        <f t="shared" si="6"/>
        <v>24</v>
      </c>
      <c r="B25" s="309" t="s">
        <v>187</v>
      </c>
      <c r="C25" s="314">
        <v>0.79</v>
      </c>
      <c r="D25" s="291">
        <v>369</v>
      </c>
      <c r="E25" s="295">
        <f t="shared" si="0"/>
        <v>291.51</v>
      </c>
      <c r="F25" s="295">
        <f t="shared" si="2"/>
        <v>77.490000000000009</v>
      </c>
      <c r="G25" s="289">
        <v>407.27542307692306</v>
      </c>
      <c r="H25" s="290">
        <v>269</v>
      </c>
      <c r="I25" s="322"/>
      <c r="J25" s="299">
        <f t="shared" si="3"/>
        <v>138.27542307692306</v>
      </c>
      <c r="K25" s="312">
        <v>0.79</v>
      </c>
      <c r="L25" s="288">
        <v>219</v>
      </c>
      <c r="M25" s="295">
        <f t="shared" si="1"/>
        <v>173.01000000000002</v>
      </c>
      <c r="N25" s="295">
        <f t="shared" si="4"/>
        <v>45.989999999999981</v>
      </c>
      <c r="O25" s="288">
        <v>212.08317307692306</v>
      </c>
      <c r="P25" s="290">
        <v>179</v>
      </c>
      <c r="Q25" s="299">
        <f t="shared" si="5"/>
        <v>33.08317307692306</v>
      </c>
      <c r="S25" s="197"/>
      <c r="T25" s="293"/>
      <c r="U25" s="197"/>
    </row>
    <row r="26" spans="1:21" ht="32">
      <c r="A26" s="260">
        <f t="shared" si="6"/>
        <v>25</v>
      </c>
      <c r="B26" s="309" t="s">
        <v>189</v>
      </c>
      <c r="C26" s="314">
        <v>0.83</v>
      </c>
      <c r="D26" s="291">
        <v>899</v>
      </c>
      <c r="E26" s="295">
        <f t="shared" si="0"/>
        <v>746.17</v>
      </c>
      <c r="F26" s="295">
        <f t="shared" si="2"/>
        <v>152.83000000000004</v>
      </c>
      <c r="G26" s="289">
        <v>783.55792307692309</v>
      </c>
      <c r="H26" s="290">
        <v>619</v>
      </c>
      <c r="I26" s="322"/>
      <c r="J26" s="299">
        <f t="shared" si="3"/>
        <v>164.55792307692309</v>
      </c>
      <c r="K26" s="312">
        <v>0.83</v>
      </c>
      <c r="L26" s="288">
        <v>569</v>
      </c>
      <c r="M26" s="295">
        <f t="shared" si="1"/>
        <v>472.27</v>
      </c>
      <c r="N26" s="295">
        <f t="shared" si="4"/>
        <v>96.730000000000018</v>
      </c>
      <c r="O26" s="288">
        <v>400.22442307692302</v>
      </c>
      <c r="P26" s="290">
        <v>379</v>
      </c>
      <c r="Q26" s="299">
        <f t="shared" si="5"/>
        <v>21.224423076923017</v>
      </c>
      <c r="S26" s="197"/>
      <c r="T26" s="293"/>
      <c r="U26" s="197"/>
    </row>
    <row r="27" spans="1:21" ht="16">
      <c r="A27" s="260">
        <f t="shared" si="6"/>
        <v>26</v>
      </c>
      <c r="B27" s="308" t="s">
        <v>19</v>
      </c>
      <c r="C27" s="314">
        <v>0.82</v>
      </c>
      <c r="D27" s="291">
        <v>1899</v>
      </c>
      <c r="E27" s="295">
        <f t="shared" si="0"/>
        <v>1557.1799999999998</v>
      </c>
      <c r="F27" s="295">
        <f t="shared" si="2"/>
        <v>341.82000000000016</v>
      </c>
      <c r="G27" s="289">
        <v>941.52892307692321</v>
      </c>
      <c r="H27" s="290">
        <v>1279</v>
      </c>
      <c r="I27" s="322"/>
      <c r="J27" s="299">
        <f t="shared" si="3"/>
        <v>-337.47107692307679</v>
      </c>
      <c r="K27" s="312">
        <v>0.82</v>
      </c>
      <c r="L27" s="288">
        <v>1139</v>
      </c>
      <c r="M27" s="295">
        <f t="shared" si="1"/>
        <v>933.9799999999999</v>
      </c>
      <c r="N27" s="295">
        <f t="shared" si="4"/>
        <v>205.0200000000001</v>
      </c>
      <c r="O27" s="288">
        <v>483.10062307692317</v>
      </c>
      <c r="P27" s="290">
        <v>769</v>
      </c>
      <c r="Q27" s="299">
        <f t="shared" si="5"/>
        <v>-285.89937692307683</v>
      </c>
      <c r="S27" s="197"/>
      <c r="T27" s="293"/>
      <c r="U27" s="197"/>
    </row>
    <row r="28" spans="1:21" ht="16">
      <c r="A28" s="260">
        <f t="shared" si="6"/>
        <v>27</v>
      </c>
      <c r="B28" s="308" t="s">
        <v>75</v>
      </c>
      <c r="C28" s="314">
        <v>0.81</v>
      </c>
      <c r="D28" s="291">
        <v>749</v>
      </c>
      <c r="E28" s="295">
        <f t="shared" si="0"/>
        <v>606.69000000000005</v>
      </c>
      <c r="F28" s="295">
        <f t="shared" si="2"/>
        <v>142.30999999999995</v>
      </c>
      <c r="G28" s="289">
        <v>500.94033507692313</v>
      </c>
      <c r="H28" s="290">
        <v>549</v>
      </c>
      <c r="I28" s="322"/>
      <c r="J28" s="299">
        <f t="shared" si="3"/>
        <v>-48.059664923076866</v>
      </c>
      <c r="K28" s="312">
        <v>0.81</v>
      </c>
      <c r="L28" s="288">
        <v>449</v>
      </c>
      <c r="M28" s="295">
        <f t="shared" si="1"/>
        <v>363.69</v>
      </c>
      <c r="N28" s="295">
        <f t="shared" si="4"/>
        <v>85.31</v>
      </c>
      <c r="O28" s="288">
        <v>258.91562907692298</v>
      </c>
      <c r="P28" s="290">
        <v>329</v>
      </c>
      <c r="Q28" s="299">
        <f t="shared" si="5"/>
        <v>-70.084370923077017</v>
      </c>
      <c r="S28" s="197"/>
      <c r="T28" s="293"/>
      <c r="U28" s="197"/>
    </row>
    <row r="29" spans="1:21" ht="16">
      <c r="A29" s="260">
        <f t="shared" si="6"/>
        <v>28</v>
      </c>
      <c r="B29" s="308" t="s">
        <v>76</v>
      </c>
      <c r="C29" s="314">
        <v>0.82</v>
      </c>
      <c r="D29" s="291">
        <v>749</v>
      </c>
      <c r="E29" s="295">
        <f t="shared" si="0"/>
        <v>614.17999999999995</v>
      </c>
      <c r="F29" s="295">
        <f t="shared" si="2"/>
        <v>134.82000000000005</v>
      </c>
      <c r="G29" s="289">
        <v>782.43369361263717</v>
      </c>
      <c r="H29" s="290">
        <v>649</v>
      </c>
      <c r="I29" s="322"/>
      <c r="J29" s="299">
        <f t="shared" si="3"/>
        <v>133.43369361263717</v>
      </c>
      <c r="K29" s="312">
        <v>0.82</v>
      </c>
      <c r="L29" s="288">
        <v>449</v>
      </c>
      <c r="M29" s="295">
        <f t="shared" si="1"/>
        <v>368.17999999999995</v>
      </c>
      <c r="N29" s="295">
        <f t="shared" si="4"/>
        <v>80.82000000000005</v>
      </c>
      <c r="O29" s="288">
        <v>399.66230834478006</v>
      </c>
      <c r="P29" s="290">
        <v>389</v>
      </c>
      <c r="Q29" s="299">
        <f t="shared" si="5"/>
        <v>10.662308344780058</v>
      </c>
      <c r="S29" s="197"/>
      <c r="T29" s="293"/>
      <c r="U29" s="197"/>
    </row>
    <row r="30" spans="1:21" ht="16">
      <c r="A30" s="260">
        <f t="shared" si="6"/>
        <v>29</v>
      </c>
      <c r="B30" s="308" t="s">
        <v>452</v>
      </c>
      <c r="C30" s="314">
        <v>0.86</v>
      </c>
      <c r="D30" s="291">
        <v>1299</v>
      </c>
      <c r="E30" s="295">
        <f t="shared" si="0"/>
        <v>1117.1399999999999</v>
      </c>
      <c r="F30" s="295">
        <f t="shared" si="2"/>
        <v>181.86000000000013</v>
      </c>
      <c r="G30" s="289">
        <v>1612.271112502694</v>
      </c>
      <c r="H30" s="290">
        <v>1149</v>
      </c>
      <c r="I30" s="322"/>
      <c r="J30" s="299">
        <f t="shared" si="3"/>
        <v>463.271112502694</v>
      </c>
      <c r="K30" s="312">
        <v>0.86</v>
      </c>
      <c r="L30" s="288">
        <v>819</v>
      </c>
      <c r="M30" s="295">
        <f t="shared" si="1"/>
        <v>704.34</v>
      </c>
      <c r="N30" s="295">
        <f t="shared" si="4"/>
        <v>114.65999999999997</v>
      </c>
      <c r="O30" s="288">
        <v>814.58101778980836</v>
      </c>
      <c r="P30" s="290">
        <v>689</v>
      </c>
      <c r="Q30" s="299">
        <f t="shared" si="5"/>
        <v>125.58101778980836</v>
      </c>
      <c r="S30" s="197"/>
      <c r="T30" s="293"/>
      <c r="U30" s="197"/>
    </row>
    <row r="31" spans="1:21" ht="16">
      <c r="A31" s="260">
        <f t="shared" si="6"/>
        <v>30</v>
      </c>
      <c r="B31" s="308" t="s">
        <v>195</v>
      </c>
      <c r="C31" s="314">
        <v>0.81</v>
      </c>
      <c r="D31" s="291">
        <v>749</v>
      </c>
      <c r="E31" s="295">
        <f t="shared" si="0"/>
        <v>606.69000000000005</v>
      </c>
      <c r="F31" s="295">
        <f t="shared" si="2"/>
        <v>142.30999999999995</v>
      </c>
      <c r="G31" s="289">
        <v>465.3955364102564</v>
      </c>
      <c r="H31" s="290">
        <v>499</v>
      </c>
      <c r="I31" s="322"/>
      <c r="J31" s="299">
        <f t="shared" si="3"/>
        <v>-33.604463589743602</v>
      </c>
      <c r="K31" s="312">
        <v>0.81</v>
      </c>
      <c r="L31" s="288">
        <v>449</v>
      </c>
      <c r="M31" s="295">
        <f t="shared" si="1"/>
        <v>363.69</v>
      </c>
      <c r="N31" s="295">
        <f t="shared" si="4"/>
        <v>85.31</v>
      </c>
      <c r="O31" s="288">
        <v>241.1432297435897</v>
      </c>
      <c r="P31" s="290">
        <v>299</v>
      </c>
      <c r="Q31" s="299">
        <f t="shared" si="5"/>
        <v>-57.8567702564103</v>
      </c>
      <c r="S31" s="197"/>
      <c r="T31" s="293"/>
      <c r="U31" s="197"/>
    </row>
    <row r="32" spans="1:21" ht="16">
      <c r="A32" s="260">
        <f t="shared" si="6"/>
        <v>31</v>
      </c>
      <c r="B32" s="308" t="s">
        <v>197</v>
      </c>
      <c r="C32" s="314">
        <v>0.87</v>
      </c>
      <c r="D32" s="291">
        <v>749</v>
      </c>
      <c r="E32" s="295">
        <f t="shared" si="0"/>
        <v>651.63</v>
      </c>
      <c r="F32" s="295">
        <f t="shared" si="2"/>
        <v>97.37</v>
      </c>
      <c r="G32" s="289">
        <v>644.67066843501323</v>
      </c>
      <c r="H32" s="290">
        <v>599</v>
      </c>
      <c r="I32" s="322"/>
      <c r="J32" s="299">
        <f t="shared" si="3"/>
        <v>45.670668435013226</v>
      </c>
      <c r="K32" s="312">
        <v>0.87</v>
      </c>
      <c r="L32" s="288">
        <v>449</v>
      </c>
      <c r="M32" s="295">
        <f t="shared" si="1"/>
        <v>390.63</v>
      </c>
      <c r="N32" s="295">
        <f t="shared" si="4"/>
        <v>58.370000000000005</v>
      </c>
      <c r="O32" s="288">
        <v>330.78079575596803</v>
      </c>
      <c r="P32" s="290">
        <v>359</v>
      </c>
      <c r="Q32" s="299">
        <f t="shared" si="5"/>
        <v>-28.219204244031971</v>
      </c>
      <c r="S32" s="197"/>
      <c r="T32" s="293"/>
      <c r="U32" s="197"/>
    </row>
    <row r="33" spans="1:21" ht="16">
      <c r="A33" s="260">
        <f t="shared" si="6"/>
        <v>32</v>
      </c>
      <c r="B33" s="308" t="s">
        <v>199</v>
      </c>
      <c r="C33" s="314">
        <v>0.86</v>
      </c>
      <c r="D33" s="291">
        <v>1299</v>
      </c>
      <c r="E33" s="295">
        <f t="shared" si="0"/>
        <v>1117.1399999999999</v>
      </c>
      <c r="F33" s="295">
        <f t="shared" si="2"/>
        <v>181.86000000000013</v>
      </c>
      <c r="G33" s="289">
        <v>1439.8727734170593</v>
      </c>
      <c r="H33" s="290">
        <v>1079</v>
      </c>
      <c r="I33" s="322"/>
      <c r="J33" s="299">
        <f t="shared" si="3"/>
        <v>360.87277341705931</v>
      </c>
      <c r="K33" s="312">
        <v>0.86</v>
      </c>
      <c r="L33" s="288">
        <v>819</v>
      </c>
      <c r="M33" s="295">
        <f t="shared" si="1"/>
        <v>704.34</v>
      </c>
      <c r="N33" s="295">
        <f t="shared" si="4"/>
        <v>114.65999999999997</v>
      </c>
      <c r="O33" s="288">
        <v>728.38184824699101</v>
      </c>
      <c r="P33" s="290">
        <v>649</v>
      </c>
      <c r="Q33" s="299">
        <f t="shared" si="5"/>
        <v>79.381848246991012</v>
      </c>
      <c r="S33" s="197"/>
      <c r="T33" s="293"/>
      <c r="U33" s="197"/>
    </row>
    <row r="34" spans="1:21" ht="16">
      <c r="A34" s="260">
        <f t="shared" si="6"/>
        <v>33</v>
      </c>
      <c r="B34" s="308" t="s">
        <v>6</v>
      </c>
      <c r="C34" s="314">
        <v>0.82</v>
      </c>
      <c r="D34" s="291">
        <v>749</v>
      </c>
      <c r="E34" s="295">
        <f t="shared" si="0"/>
        <v>614.17999999999995</v>
      </c>
      <c r="F34" s="295">
        <f t="shared" si="2"/>
        <v>134.82000000000005</v>
      </c>
      <c r="G34" s="289">
        <v>923.72425493533024</v>
      </c>
      <c r="H34" s="290">
        <v>699</v>
      </c>
      <c r="I34" s="322"/>
      <c r="J34" s="299">
        <f t="shared" si="3"/>
        <v>224.72425493533024</v>
      </c>
      <c r="K34" s="312">
        <v>0.82</v>
      </c>
      <c r="L34" s="288">
        <v>449</v>
      </c>
      <c r="M34" s="295">
        <f t="shared" si="1"/>
        <v>368.17999999999995</v>
      </c>
      <c r="N34" s="295">
        <f t="shared" si="4"/>
        <v>80.82000000000005</v>
      </c>
      <c r="O34" s="288">
        <v>470.30758900612653</v>
      </c>
      <c r="P34" s="290">
        <v>419</v>
      </c>
      <c r="Q34" s="299">
        <f t="shared" si="5"/>
        <v>51.307589006126534</v>
      </c>
      <c r="S34" s="197"/>
      <c r="T34" s="293"/>
      <c r="U34" s="197"/>
    </row>
    <row r="35" spans="1:21" ht="16">
      <c r="A35" s="260">
        <f t="shared" si="6"/>
        <v>34</v>
      </c>
      <c r="B35" s="308" t="s">
        <v>20</v>
      </c>
      <c r="C35" s="314">
        <v>0.82</v>
      </c>
      <c r="D35" s="291">
        <v>749</v>
      </c>
      <c r="E35" s="295">
        <f t="shared" si="0"/>
        <v>614.17999999999995</v>
      </c>
      <c r="F35" s="295">
        <f t="shared" si="2"/>
        <v>134.82000000000005</v>
      </c>
      <c r="G35" s="289">
        <v>606.63457937944418</v>
      </c>
      <c r="H35" s="290">
        <v>579</v>
      </c>
      <c r="I35" s="322"/>
      <c r="J35" s="299">
        <f t="shared" si="3"/>
        <v>27.634579379444176</v>
      </c>
      <c r="K35" s="312">
        <v>0.82</v>
      </c>
      <c r="L35" s="288">
        <v>449</v>
      </c>
      <c r="M35" s="295">
        <f t="shared" si="1"/>
        <v>368.17999999999995</v>
      </c>
      <c r="N35" s="295">
        <f t="shared" si="4"/>
        <v>80.82000000000005</v>
      </c>
      <c r="O35" s="288">
        <v>311.76275122818356</v>
      </c>
      <c r="P35" s="290">
        <v>349</v>
      </c>
      <c r="Q35" s="299">
        <f t="shared" si="5"/>
        <v>-37.237248771816439</v>
      </c>
      <c r="S35" s="197"/>
      <c r="T35" s="293"/>
      <c r="U35" s="197"/>
    </row>
    <row r="36" spans="1:21" ht="16">
      <c r="A36" s="260">
        <f t="shared" si="6"/>
        <v>35</v>
      </c>
      <c r="B36" s="308" t="s">
        <v>7</v>
      </c>
      <c r="C36" s="314">
        <v>0.87</v>
      </c>
      <c r="D36" s="291">
        <v>1899</v>
      </c>
      <c r="E36" s="295">
        <f t="shared" si="0"/>
        <v>1652.1299999999999</v>
      </c>
      <c r="F36" s="295">
        <f t="shared" si="2"/>
        <v>246.87000000000012</v>
      </c>
      <c r="G36" s="289">
        <v>2267.9335662808062</v>
      </c>
      <c r="H36" s="290">
        <v>1809</v>
      </c>
      <c r="I36" s="322"/>
      <c r="J36" s="299">
        <f t="shared" si="3"/>
        <v>458.93356628080619</v>
      </c>
      <c r="K36" s="312">
        <v>0.87</v>
      </c>
      <c r="L36" s="288">
        <v>1139</v>
      </c>
      <c r="M36" s="295">
        <f t="shared" si="1"/>
        <v>990.93</v>
      </c>
      <c r="N36" s="295">
        <f t="shared" si="4"/>
        <v>148.07000000000005</v>
      </c>
      <c r="O36" s="288">
        <v>1142.4122446788647</v>
      </c>
      <c r="P36" s="290">
        <v>1089</v>
      </c>
      <c r="Q36" s="299">
        <f t="shared" si="5"/>
        <v>53.412244678864681</v>
      </c>
      <c r="S36" s="197"/>
      <c r="T36" s="293"/>
      <c r="U36" s="197"/>
    </row>
    <row r="37" spans="1:21" ht="16">
      <c r="A37" s="260">
        <f t="shared" si="6"/>
        <v>36</v>
      </c>
      <c r="B37" s="309" t="s">
        <v>204</v>
      </c>
      <c r="C37" s="314">
        <v>0.85</v>
      </c>
      <c r="D37" s="291">
        <v>409</v>
      </c>
      <c r="E37" s="295">
        <f t="shared" si="0"/>
        <v>347.65</v>
      </c>
      <c r="F37" s="295">
        <f t="shared" si="2"/>
        <v>61.350000000000023</v>
      </c>
      <c r="G37" s="289">
        <v>315</v>
      </c>
      <c r="H37" s="290">
        <v>329</v>
      </c>
      <c r="I37" s="322"/>
      <c r="J37" s="299">
        <f t="shared" si="3"/>
        <v>-14</v>
      </c>
      <c r="K37" s="312">
        <v>0.85</v>
      </c>
      <c r="L37" s="288"/>
      <c r="M37" s="295"/>
      <c r="N37" s="295"/>
      <c r="O37" s="288"/>
      <c r="P37" s="290"/>
      <c r="Q37" s="299"/>
      <c r="S37" s="197"/>
      <c r="T37" s="293"/>
      <c r="U37" s="197"/>
    </row>
    <row r="38" spans="1:21" ht="32">
      <c r="A38" s="260">
        <f t="shared" si="6"/>
        <v>37</v>
      </c>
      <c r="B38" s="308" t="s">
        <v>206</v>
      </c>
      <c r="C38" s="314">
        <v>0.81</v>
      </c>
      <c r="D38" s="291">
        <v>569</v>
      </c>
      <c r="E38" s="295">
        <f t="shared" si="0"/>
        <v>460.89000000000004</v>
      </c>
      <c r="F38" s="295">
        <f t="shared" si="2"/>
        <v>108.10999999999996</v>
      </c>
      <c r="G38" s="289">
        <v>452.39050618755914</v>
      </c>
      <c r="H38" s="290">
        <v>429</v>
      </c>
      <c r="I38" s="322"/>
      <c r="J38" s="299">
        <f t="shared" si="3"/>
        <v>23.39050618755914</v>
      </c>
      <c r="K38" s="312">
        <v>0.81</v>
      </c>
      <c r="L38" s="288">
        <v>359</v>
      </c>
      <c r="M38" s="295">
        <f t="shared" ref="M38:M44" si="7">L38*K38</f>
        <v>290.79000000000002</v>
      </c>
      <c r="N38" s="295">
        <f t="shared" si="4"/>
        <v>68.20999999999998</v>
      </c>
      <c r="O38" s="288">
        <v>238.53141463224102</v>
      </c>
      <c r="P38" s="290">
        <v>259</v>
      </c>
      <c r="Q38" s="299">
        <f t="shared" si="5"/>
        <v>-20.468585367758976</v>
      </c>
      <c r="S38" s="197"/>
      <c r="T38" s="293"/>
      <c r="U38" s="197"/>
    </row>
    <row r="39" spans="1:21" ht="32">
      <c r="A39" s="260">
        <f t="shared" si="6"/>
        <v>38</v>
      </c>
      <c r="B39" s="308" t="s">
        <v>208</v>
      </c>
      <c r="C39" s="314">
        <v>0.81</v>
      </c>
      <c r="D39" s="291">
        <v>569</v>
      </c>
      <c r="E39" s="295">
        <f t="shared" si="0"/>
        <v>460.89000000000004</v>
      </c>
      <c r="F39" s="295">
        <f t="shared" si="2"/>
        <v>108.10999999999996</v>
      </c>
      <c r="G39" s="289">
        <v>418.17695987692309</v>
      </c>
      <c r="H39" s="290">
        <v>419</v>
      </c>
      <c r="I39" s="322"/>
      <c r="J39" s="299">
        <f t="shared" si="3"/>
        <v>-0.82304012307690755</v>
      </c>
      <c r="K39" s="312">
        <v>0.81</v>
      </c>
      <c r="L39" s="288">
        <v>359</v>
      </c>
      <c r="M39" s="295">
        <f t="shared" si="7"/>
        <v>290.79000000000002</v>
      </c>
      <c r="N39" s="295">
        <f t="shared" si="4"/>
        <v>68.20999999999998</v>
      </c>
      <c r="O39" s="288">
        <v>221.42464147692306</v>
      </c>
      <c r="P39" s="290">
        <v>259</v>
      </c>
      <c r="Q39" s="299">
        <f t="shared" si="5"/>
        <v>-37.575358523076943</v>
      </c>
      <c r="S39" s="197"/>
      <c r="T39" s="293"/>
      <c r="U39" s="197"/>
    </row>
    <row r="40" spans="1:21" ht="32">
      <c r="A40" s="260">
        <f t="shared" si="6"/>
        <v>39</v>
      </c>
      <c r="B40" s="308" t="s">
        <v>210</v>
      </c>
      <c r="C40" s="314">
        <v>0.81</v>
      </c>
      <c r="D40" s="291">
        <v>569</v>
      </c>
      <c r="E40" s="295">
        <f t="shared" si="0"/>
        <v>460.89000000000004</v>
      </c>
      <c r="F40" s="295">
        <f t="shared" si="2"/>
        <v>108.10999999999996</v>
      </c>
      <c r="G40" s="289">
        <v>382.21239042074126</v>
      </c>
      <c r="H40" s="290">
        <v>429</v>
      </c>
      <c r="I40" s="322"/>
      <c r="J40" s="299">
        <f t="shared" si="3"/>
        <v>-46.787609579258742</v>
      </c>
      <c r="K40" s="312">
        <v>0.81</v>
      </c>
      <c r="L40" s="288">
        <v>359</v>
      </c>
      <c r="M40" s="295">
        <f t="shared" si="7"/>
        <v>290.79000000000002</v>
      </c>
      <c r="N40" s="295">
        <f t="shared" si="4"/>
        <v>68.20999999999998</v>
      </c>
      <c r="O40" s="288">
        <v>203.44235674883222</v>
      </c>
      <c r="P40" s="290">
        <v>259</v>
      </c>
      <c r="Q40" s="299">
        <f t="shared" si="5"/>
        <v>-55.557643251167775</v>
      </c>
      <c r="S40" s="197"/>
      <c r="T40" s="293"/>
      <c r="U40" s="197"/>
    </row>
    <row r="41" spans="1:21" ht="16">
      <c r="A41" s="260">
        <f t="shared" si="6"/>
        <v>40</v>
      </c>
      <c r="B41" s="308" t="s">
        <v>212</v>
      </c>
      <c r="C41" s="314">
        <v>0.82</v>
      </c>
      <c r="D41" s="291">
        <v>569</v>
      </c>
      <c r="E41" s="295">
        <f t="shared" si="0"/>
        <v>466.58</v>
      </c>
      <c r="F41" s="295">
        <f t="shared" si="2"/>
        <v>102.42000000000002</v>
      </c>
      <c r="G41" s="289">
        <v>528.45880509372989</v>
      </c>
      <c r="H41" s="290">
        <v>439</v>
      </c>
      <c r="I41" s="322"/>
      <c r="J41" s="299">
        <f t="shared" si="3"/>
        <v>89.458805093729893</v>
      </c>
      <c r="K41" s="312">
        <v>0.82</v>
      </c>
      <c r="L41" s="288">
        <v>359</v>
      </c>
      <c r="M41" s="295">
        <f t="shared" si="7"/>
        <v>294.38</v>
      </c>
      <c r="N41" s="295">
        <f t="shared" si="4"/>
        <v>64.62</v>
      </c>
      <c r="O41" s="288">
        <v>276.5655640853264</v>
      </c>
      <c r="P41" s="290">
        <v>269</v>
      </c>
      <c r="Q41" s="299">
        <f t="shared" si="5"/>
        <v>7.5655640853264003</v>
      </c>
      <c r="S41" s="197"/>
      <c r="T41" s="293"/>
      <c r="U41" s="197"/>
    </row>
    <row r="42" spans="1:21" ht="32">
      <c r="A42" s="260">
        <f t="shared" si="6"/>
        <v>41</v>
      </c>
      <c r="B42" s="308" t="s">
        <v>214</v>
      </c>
      <c r="C42" s="314">
        <v>0.81</v>
      </c>
      <c r="D42" s="291">
        <v>569</v>
      </c>
      <c r="E42" s="295">
        <f t="shared" si="0"/>
        <v>460.89000000000004</v>
      </c>
      <c r="F42" s="295">
        <f t="shared" si="2"/>
        <v>108.10999999999996</v>
      </c>
      <c r="G42" s="289">
        <v>278.35635384615387</v>
      </c>
      <c r="H42" s="290">
        <v>369</v>
      </c>
      <c r="I42" s="322"/>
      <c r="J42" s="299">
        <f t="shared" si="3"/>
        <v>-90.643646153846134</v>
      </c>
      <c r="K42" s="312">
        <v>0.81</v>
      </c>
      <c r="L42" s="288">
        <v>359</v>
      </c>
      <c r="M42" s="295">
        <f t="shared" si="7"/>
        <v>290.79000000000002</v>
      </c>
      <c r="N42" s="295">
        <f t="shared" si="4"/>
        <v>68.20999999999998</v>
      </c>
      <c r="O42" s="288">
        <v>151.5143384615385</v>
      </c>
      <c r="P42" s="290">
        <v>229</v>
      </c>
      <c r="Q42" s="299">
        <f t="shared" si="5"/>
        <v>-77.4856615384615</v>
      </c>
      <c r="S42" s="197"/>
      <c r="T42" s="293"/>
      <c r="U42" s="197"/>
    </row>
    <row r="43" spans="1:21" ht="16">
      <c r="A43" s="260">
        <f>+A42+1</f>
        <v>42</v>
      </c>
      <c r="B43" s="308" t="s">
        <v>18</v>
      </c>
      <c r="C43" s="314">
        <v>0.88</v>
      </c>
      <c r="D43" s="291">
        <v>1559</v>
      </c>
      <c r="E43" s="295">
        <f t="shared" si="0"/>
        <v>1371.92</v>
      </c>
      <c r="F43" s="295">
        <f t="shared" si="2"/>
        <v>187.07999999999993</v>
      </c>
      <c r="G43" s="289">
        <v>1206.4790251436382</v>
      </c>
      <c r="H43" s="290">
        <v>1129</v>
      </c>
      <c r="I43" s="322"/>
      <c r="J43" s="299">
        <f t="shared" si="3"/>
        <v>77.479025143638182</v>
      </c>
      <c r="K43" s="312">
        <v>0.88</v>
      </c>
      <c r="L43" s="288">
        <v>939</v>
      </c>
      <c r="M43" s="295">
        <f t="shared" si="7"/>
        <v>826.32</v>
      </c>
      <c r="N43" s="295">
        <f t="shared" si="4"/>
        <v>112.67999999999995</v>
      </c>
      <c r="O43" s="288">
        <v>615.57567411028049</v>
      </c>
      <c r="P43" s="290">
        <v>679</v>
      </c>
      <c r="Q43" s="299">
        <f t="shared" si="5"/>
        <v>-63.424325889719512</v>
      </c>
      <c r="S43" s="197"/>
      <c r="T43" s="293"/>
      <c r="U43" s="197"/>
    </row>
    <row r="44" spans="1:21" ht="17" thickBot="1">
      <c r="A44" s="300">
        <f t="shared" si="6"/>
        <v>43</v>
      </c>
      <c r="B44" s="310" t="s">
        <v>217</v>
      </c>
      <c r="C44" s="314">
        <v>0.77</v>
      </c>
      <c r="D44" s="301">
        <v>629</v>
      </c>
      <c r="E44" s="302">
        <f t="shared" si="0"/>
        <v>484.33</v>
      </c>
      <c r="F44" s="302">
        <f t="shared" si="2"/>
        <v>144.67000000000002</v>
      </c>
      <c r="G44" s="303">
        <v>676.90319230769239</v>
      </c>
      <c r="H44" s="304"/>
      <c r="I44" s="323"/>
      <c r="J44" s="306">
        <f t="shared" si="3"/>
        <v>676.90319230769239</v>
      </c>
      <c r="K44" s="312">
        <v>0.77</v>
      </c>
      <c r="L44" s="305">
        <v>369</v>
      </c>
      <c r="M44" s="302">
        <f t="shared" si="7"/>
        <v>284.13</v>
      </c>
      <c r="N44" s="302">
        <f t="shared" si="4"/>
        <v>84.87</v>
      </c>
      <c r="O44" s="305">
        <v>327.80249615384622</v>
      </c>
      <c r="P44" s="304"/>
      <c r="Q44" s="306">
        <f t="shared" si="5"/>
        <v>327.80249615384622</v>
      </c>
      <c r="S44" s="197"/>
      <c r="T44" s="293"/>
      <c r="U44" s="197"/>
    </row>
    <row r="45" spans="1:21">
      <c r="S45" s="197"/>
      <c r="T45" s="293"/>
      <c r="U45" s="197"/>
    </row>
  </sheetData>
  <conditionalFormatting sqref="Q2:Q44 J2:L44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A84D-B3A4-7241-AA58-D3CF48799821}">
  <dimension ref="A1:J49"/>
  <sheetViews>
    <sheetView zoomScale="125" workbookViewId="0">
      <selection activeCell="K6" sqref="K6"/>
    </sheetView>
  </sheetViews>
  <sheetFormatPr baseColWidth="10" defaultRowHeight="14"/>
  <cols>
    <col min="2" max="2" width="23.1640625" customWidth="1"/>
    <col min="6" max="6" width="13.6640625" customWidth="1"/>
    <col min="10" max="10" width="14.5" customWidth="1"/>
  </cols>
  <sheetData>
    <row r="1" spans="1:10" ht="16">
      <c r="A1" s="296" t="s">
        <v>147</v>
      </c>
      <c r="B1" s="297" t="s">
        <v>148</v>
      </c>
      <c r="C1" s="297" t="s">
        <v>459</v>
      </c>
      <c r="D1" s="297" t="s">
        <v>548</v>
      </c>
      <c r="E1" s="297" t="s">
        <v>481</v>
      </c>
      <c r="F1" s="297" t="s">
        <v>550</v>
      </c>
      <c r="G1" s="297" t="s">
        <v>460</v>
      </c>
      <c r="H1" s="297" t="s">
        <v>549</v>
      </c>
      <c r="I1" s="297" t="s">
        <v>481</v>
      </c>
      <c r="J1" s="298" t="s">
        <v>551</v>
      </c>
    </row>
    <row r="2" spans="1:10" ht="16">
      <c r="A2" s="260">
        <v>1</v>
      </c>
      <c r="B2" s="241" t="s">
        <v>15</v>
      </c>
      <c r="C2" s="242">
        <v>4299</v>
      </c>
      <c r="D2" s="295">
        <v>2404.9806153846157</v>
      </c>
      <c r="E2" s="295">
        <f>C2-D2</f>
        <v>1894.0193846153843</v>
      </c>
      <c r="F2" s="295">
        <f>(E2/2)+D2</f>
        <v>3351.9903076923079</v>
      </c>
      <c r="G2" s="288">
        <v>2579</v>
      </c>
      <c r="H2" s="295">
        <v>1202.4903076923079</v>
      </c>
      <c r="I2" s="295">
        <f>G2-H2</f>
        <v>1376.5096923076921</v>
      </c>
      <c r="J2" s="343">
        <f>(I2/2)+H2</f>
        <v>1890.7451538461539</v>
      </c>
    </row>
    <row r="3" spans="1:10" ht="16">
      <c r="A3" s="260">
        <f>+A2+1</f>
        <v>2</v>
      </c>
      <c r="B3" s="244" t="s">
        <v>35</v>
      </c>
      <c r="C3" s="242">
        <v>4999</v>
      </c>
      <c r="D3" s="295">
        <v>3823.8606153846158</v>
      </c>
      <c r="E3" s="295">
        <f t="shared" ref="E3:E22" si="0">C3-D3</f>
        <v>1175.1393846153842</v>
      </c>
      <c r="F3" s="295">
        <f t="shared" ref="F3:F22" si="1">(E3/2)+D3</f>
        <v>4411.4303076923079</v>
      </c>
      <c r="G3" s="288">
        <v>2999</v>
      </c>
      <c r="H3" s="295">
        <v>1911.9303076923079</v>
      </c>
      <c r="I3" s="295">
        <f t="shared" ref="I3:I22" si="2">G3-H3</f>
        <v>1087.0696923076921</v>
      </c>
      <c r="J3" s="343">
        <f t="shared" ref="J3:J22" si="3">(I3/2)+H3</f>
        <v>2455.465153846154</v>
      </c>
    </row>
    <row r="4" spans="1:10" ht="16">
      <c r="A4" s="260">
        <f t="shared" ref="A4:A49" si="4">+A3+1</f>
        <v>3</v>
      </c>
      <c r="B4" s="244" t="s">
        <v>155</v>
      </c>
      <c r="C4" s="242">
        <v>949</v>
      </c>
      <c r="D4" s="295">
        <v>442.30123076923081</v>
      </c>
      <c r="E4" s="295">
        <f t="shared" si="0"/>
        <v>506.69876923076919</v>
      </c>
      <c r="F4" s="295">
        <f t="shared" si="1"/>
        <v>695.65061538461543</v>
      </c>
      <c r="G4" s="288">
        <v>569</v>
      </c>
      <c r="H4" s="295">
        <v>200.49030769230768</v>
      </c>
      <c r="I4" s="295">
        <f t="shared" si="2"/>
        <v>368.50969230769232</v>
      </c>
      <c r="J4" s="343">
        <f t="shared" si="3"/>
        <v>384.74515384615381</v>
      </c>
    </row>
    <row r="5" spans="1:10" ht="16">
      <c r="A5" s="260">
        <f t="shared" si="4"/>
        <v>4</v>
      </c>
      <c r="B5" s="244" t="s">
        <v>1</v>
      </c>
      <c r="C5" s="242">
        <v>2099</v>
      </c>
      <c r="D5" s="295">
        <v>1483.8606153846156</v>
      </c>
      <c r="E5" s="295">
        <f t="shared" si="0"/>
        <v>615.13938461538442</v>
      </c>
      <c r="F5" s="295">
        <f t="shared" si="1"/>
        <v>1791.4303076923079</v>
      </c>
      <c r="G5" s="288">
        <v>1259</v>
      </c>
      <c r="H5" s="295">
        <v>741.93030769230779</v>
      </c>
      <c r="I5" s="295">
        <f t="shared" si="2"/>
        <v>517.06969230769221</v>
      </c>
      <c r="J5" s="343">
        <f t="shared" si="3"/>
        <v>1000.465153846154</v>
      </c>
    </row>
    <row r="6" spans="1:10" ht="16">
      <c r="A6" s="260">
        <f t="shared" si="4"/>
        <v>5</v>
      </c>
      <c r="B6" s="244" t="s">
        <v>158</v>
      </c>
      <c r="C6" s="242">
        <v>699</v>
      </c>
      <c r="D6" s="295">
        <v>304.30123076923081</v>
      </c>
      <c r="E6" s="295">
        <f t="shared" si="0"/>
        <v>394.69876923076919</v>
      </c>
      <c r="F6" s="295">
        <f t="shared" si="1"/>
        <v>501.65061538461543</v>
      </c>
      <c r="G6" s="288">
        <v>419</v>
      </c>
      <c r="H6" s="295">
        <v>152.15061538461541</v>
      </c>
      <c r="I6" s="295">
        <f t="shared" si="2"/>
        <v>266.84938461538457</v>
      </c>
      <c r="J6" s="343">
        <f t="shared" si="3"/>
        <v>285.57530769230766</v>
      </c>
    </row>
    <row r="7" spans="1:10" ht="32">
      <c r="A7" s="260">
        <f t="shared" si="4"/>
        <v>6</v>
      </c>
      <c r="B7" s="244" t="s">
        <v>5</v>
      </c>
      <c r="C7" s="242">
        <v>1899</v>
      </c>
      <c r="D7" s="295">
        <v>1303.1812307692308</v>
      </c>
      <c r="E7" s="295">
        <f t="shared" si="0"/>
        <v>595.81876923076925</v>
      </c>
      <c r="F7" s="295">
        <f t="shared" si="1"/>
        <v>1601.0906153846154</v>
      </c>
      <c r="G7" s="288">
        <v>1139</v>
      </c>
      <c r="H7" s="295">
        <v>651.59061538461538</v>
      </c>
      <c r="I7" s="295">
        <f t="shared" si="2"/>
        <v>487.40938461538462</v>
      </c>
      <c r="J7" s="343">
        <f t="shared" si="3"/>
        <v>895.29530769230769</v>
      </c>
    </row>
    <row r="8" spans="1:10" ht="16">
      <c r="A8" s="260">
        <f t="shared" si="4"/>
        <v>7</v>
      </c>
      <c r="B8" s="244" t="s">
        <v>161</v>
      </c>
      <c r="C8" s="242">
        <v>989</v>
      </c>
      <c r="D8" s="295">
        <v>829.18123076923064</v>
      </c>
      <c r="E8" s="295">
        <f t="shared" si="0"/>
        <v>159.81876923076936</v>
      </c>
      <c r="F8" s="295">
        <f t="shared" si="1"/>
        <v>909.09061538461538</v>
      </c>
      <c r="G8" s="288">
        <v>599</v>
      </c>
      <c r="H8" s="295">
        <v>414.59061538461532</v>
      </c>
      <c r="I8" s="295">
        <f t="shared" si="2"/>
        <v>184.40938461538468</v>
      </c>
      <c r="J8" s="343">
        <f t="shared" si="3"/>
        <v>506.79530769230769</v>
      </c>
    </row>
    <row r="9" spans="1:10" ht="16">
      <c r="A9" s="260">
        <f t="shared" si="4"/>
        <v>8</v>
      </c>
      <c r="B9" s="244" t="s">
        <v>163</v>
      </c>
      <c r="C9" s="242">
        <v>989</v>
      </c>
      <c r="D9" s="295">
        <v>865.18123076923064</v>
      </c>
      <c r="E9" s="295">
        <f t="shared" si="0"/>
        <v>123.81876923076936</v>
      </c>
      <c r="F9" s="295">
        <f t="shared" si="1"/>
        <v>927.09061538461538</v>
      </c>
      <c r="G9" s="288">
        <v>599</v>
      </c>
      <c r="H9" s="295">
        <v>432.59061538461532</v>
      </c>
      <c r="I9" s="295">
        <f t="shared" si="2"/>
        <v>166.40938461538468</v>
      </c>
      <c r="J9" s="343">
        <f t="shared" si="3"/>
        <v>515.79530769230769</v>
      </c>
    </row>
    <row r="10" spans="1:10" ht="16">
      <c r="A10" s="260">
        <f t="shared" si="4"/>
        <v>9</v>
      </c>
      <c r="B10" s="244" t="s">
        <v>0</v>
      </c>
      <c r="C10" s="242">
        <v>1599</v>
      </c>
      <c r="D10" s="295">
        <v>1091.2003076923079</v>
      </c>
      <c r="E10" s="295">
        <f t="shared" si="0"/>
        <v>507.79969230769211</v>
      </c>
      <c r="F10" s="295">
        <f t="shared" si="1"/>
        <v>1345.1001538461539</v>
      </c>
      <c r="G10" s="288">
        <v>969</v>
      </c>
      <c r="H10" s="295">
        <v>551.74230769230769</v>
      </c>
      <c r="I10" s="295">
        <f t="shared" si="2"/>
        <v>417.25769230769231</v>
      </c>
      <c r="J10" s="343">
        <f t="shared" si="3"/>
        <v>760.3711538461539</v>
      </c>
    </row>
    <row r="11" spans="1:10" ht="16">
      <c r="A11" s="260">
        <f t="shared" si="4"/>
        <v>10</v>
      </c>
      <c r="B11" s="244" t="s">
        <v>2</v>
      </c>
      <c r="C11" s="242">
        <v>389</v>
      </c>
      <c r="D11" s="295">
        <v>285.0606153846154</v>
      </c>
      <c r="E11" s="295">
        <f t="shared" si="0"/>
        <v>103.9393846153846</v>
      </c>
      <c r="F11" s="295">
        <f t="shared" si="1"/>
        <v>337.0303076923077</v>
      </c>
      <c r="G11" s="288">
        <v>239</v>
      </c>
      <c r="H11" s="295">
        <v>142.5303076923077</v>
      </c>
      <c r="I11" s="295">
        <f t="shared" si="2"/>
        <v>96.469692307692299</v>
      </c>
      <c r="J11" s="343">
        <f t="shared" si="3"/>
        <v>190.76515384615385</v>
      </c>
    </row>
    <row r="12" spans="1:10" ht="16">
      <c r="A12" s="260">
        <f t="shared" si="4"/>
        <v>11</v>
      </c>
      <c r="B12" s="244" t="s">
        <v>3</v>
      </c>
      <c r="C12" s="242">
        <v>659</v>
      </c>
      <c r="D12" s="295">
        <v>398.80030769230768</v>
      </c>
      <c r="E12" s="295">
        <f t="shared" si="0"/>
        <v>260.19969230769232</v>
      </c>
      <c r="F12" s="295">
        <f t="shared" si="1"/>
        <v>528.9001538461539</v>
      </c>
      <c r="G12" s="288">
        <v>389</v>
      </c>
      <c r="H12" s="295">
        <v>205.54230769230765</v>
      </c>
      <c r="I12" s="295">
        <f t="shared" si="2"/>
        <v>183.45769230769235</v>
      </c>
      <c r="J12" s="343">
        <f t="shared" si="3"/>
        <v>297.27115384615382</v>
      </c>
    </row>
    <row r="13" spans="1:10" ht="16">
      <c r="A13" s="260">
        <f t="shared" si="4"/>
        <v>12</v>
      </c>
      <c r="B13" s="244" t="s">
        <v>41</v>
      </c>
      <c r="C13" s="242">
        <v>289</v>
      </c>
      <c r="D13" s="295">
        <v>192.40030769230768</v>
      </c>
      <c r="E13" s="295">
        <f t="shared" si="0"/>
        <v>96.599692307692322</v>
      </c>
      <c r="F13" s="295">
        <f t="shared" si="1"/>
        <v>240.70015384615385</v>
      </c>
      <c r="G13" s="288">
        <v>169</v>
      </c>
      <c r="H13" s="295">
        <v>102.34230769230771</v>
      </c>
      <c r="I13" s="295">
        <f t="shared" si="2"/>
        <v>66.657692307692287</v>
      </c>
      <c r="J13" s="343">
        <f t="shared" si="3"/>
        <v>135.67115384615386</v>
      </c>
    </row>
    <row r="14" spans="1:10" ht="16">
      <c r="A14" s="260">
        <f t="shared" si="4"/>
        <v>13</v>
      </c>
      <c r="B14" s="241" t="s">
        <v>16</v>
      </c>
      <c r="C14" s="242">
        <v>4299</v>
      </c>
      <c r="D14" s="295">
        <v>3385.1812307692317</v>
      </c>
      <c r="E14" s="295">
        <f t="shared" si="0"/>
        <v>913.81876923076834</v>
      </c>
      <c r="F14" s="295">
        <f t="shared" si="1"/>
        <v>3842.0906153846158</v>
      </c>
      <c r="G14" s="288">
        <v>2579</v>
      </c>
      <c r="H14" s="295">
        <v>1692.5906153846158</v>
      </c>
      <c r="I14" s="295">
        <f t="shared" si="2"/>
        <v>886.40938461538417</v>
      </c>
      <c r="J14" s="343">
        <f t="shared" si="3"/>
        <v>2135.7953076923077</v>
      </c>
    </row>
    <row r="15" spans="1:10" ht="16">
      <c r="A15" s="260">
        <f t="shared" si="4"/>
        <v>14</v>
      </c>
      <c r="B15" s="241" t="s">
        <v>12</v>
      </c>
      <c r="C15" s="242">
        <v>1799</v>
      </c>
      <c r="D15" s="295">
        <v>1163.2003076923079</v>
      </c>
      <c r="E15" s="295">
        <f t="shared" si="0"/>
        <v>635.79969230769211</v>
      </c>
      <c r="F15" s="295">
        <f t="shared" si="1"/>
        <v>1481.1001538461539</v>
      </c>
      <c r="G15" s="288">
        <v>1089</v>
      </c>
      <c r="H15" s="295">
        <v>587.74230769230769</v>
      </c>
      <c r="I15" s="295">
        <f t="shared" si="2"/>
        <v>501.25769230769231</v>
      </c>
      <c r="J15" s="343">
        <f t="shared" si="3"/>
        <v>838.3711538461539</v>
      </c>
    </row>
    <row r="16" spans="1:10" ht="16">
      <c r="A16" s="260">
        <f t="shared" si="4"/>
        <v>15</v>
      </c>
      <c r="B16" s="241" t="s">
        <v>13</v>
      </c>
      <c r="C16" s="242">
        <v>2099</v>
      </c>
      <c r="D16" s="295">
        <v>719.50123076923069</v>
      </c>
      <c r="E16" s="295">
        <f t="shared" si="0"/>
        <v>1379.4987692307693</v>
      </c>
      <c r="F16" s="295">
        <f t="shared" si="1"/>
        <v>1409.2506153846152</v>
      </c>
      <c r="G16" s="288">
        <v>1259</v>
      </c>
      <c r="H16" s="295">
        <v>359.75061538461534</v>
      </c>
      <c r="I16" s="295">
        <f t="shared" si="2"/>
        <v>899.24938461538466</v>
      </c>
      <c r="J16" s="343">
        <f t="shared" si="3"/>
        <v>809.37530769230762</v>
      </c>
    </row>
    <row r="17" spans="1:10" ht="16">
      <c r="A17" s="260">
        <f t="shared" si="4"/>
        <v>16</v>
      </c>
      <c r="B17" s="244" t="s">
        <v>172</v>
      </c>
      <c r="C17" s="242">
        <v>1899</v>
      </c>
      <c r="D17" s="295">
        <v>1149.0883076923078</v>
      </c>
      <c r="E17" s="295">
        <f t="shared" si="0"/>
        <v>749.91169230769219</v>
      </c>
      <c r="F17" s="295">
        <f t="shared" si="1"/>
        <v>1524.0441538461539</v>
      </c>
      <c r="G17" s="288">
        <v>1139</v>
      </c>
      <c r="H17" s="295">
        <v>583.51590769230768</v>
      </c>
      <c r="I17" s="295">
        <f t="shared" si="2"/>
        <v>555.48409230769232</v>
      </c>
      <c r="J17" s="343">
        <f t="shared" si="3"/>
        <v>861.2579538461539</v>
      </c>
    </row>
    <row r="18" spans="1:10" ht="16">
      <c r="A18" s="260">
        <f t="shared" si="4"/>
        <v>17</v>
      </c>
      <c r="B18" s="244" t="s">
        <v>174</v>
      </c>
      <c r="C18" s="242">
        <v>429</v>
      </c>
      <c r="D18" s="295">
        <v>275.92030769230769</v>
      </c>
      <c r="E18" s="295">
        <f t="shared" si="0"/>
        <v>153.07969230769231</v>
      </c>
      <c r="F18" s="295">
        <f t="shared" si="1"/>
        <v>352.46015384615384</v>
      </c>
      <c r="G18" s="288">
        <v>259</v>
      </c>
      <c r="H18" s="295">
        <v>144.1023076923077</v>
      </c>
      <c r="I18" s="295">
        <f t="shared" si="2"/>
        <v>114.8976923076923</v>
      </c>
      <c r="J18" s="343">
        <f t="shared" si="3"/>
        <v>201.55115384615385</v>
      </c>
    </row>
    <row r="19" spans="1:10" ht="16">
      <c r="A19" s="260">
        <f t="shared" si="4"/>
        <v>18</v>
      </c>
      <c r="B19" s="244" t="s">
        <v>176</v>
      </c>
      <c r="C19" s="242">
        <v>679</v>
      </c>
      <c r="D19" s="295">
        <v>417.04030769230769</v>
      </c>
      <c r="E19" s="295">
        <f t="shared" si="0"/>
        <v>261.95969230769231</v>
      </c>
      <c r="F19" s="295">
        <f t="shared" si="1"/>
        <v>548.02015384615379</v>
      </c>
      <c r="G19" s="288">
        <v>419</v>
      </c>
      <c r="H19" s="295">
        <v>214.66230769230765</v>
      </c>
      <c r="I19" s="295">
        <f t="shared" si="2"/>
        <v>204.33769230769235</v>
      </c>
      <c r="J19" s="343">
        <f t="shared" si="3"/>
        <v>316.83115384615382</v>
      </c>
    </row>
    <row r="20" spans="1:10" ht="32">
      <c r="A20" s="260">
        <f t="shared" si="4"/>
        <v>19</v>
      </c>
      <c r="B20" s="244" t="s">
        <v>228</v>
      </c>
      <c r="C20" s="242">
        <v>479</v>
      </c>
      <c r="D20" s="295">
        <v>304.14430769230762</v>
      </c>
      <c r="E20" s="295">
        <f t="shared" si="0"/>
        <v>174.85569230769238</v>
      </c>
      <c r="F20" s="295">
        <f t="shared" si="1"/>
        <v>391.57215384615381</v>
      </c>
      <c r="G20" s="288">
        <v>289</v>
      </c>
      <c r="H20" s="295">
        <v>158.2143076923077</v>
      </c>
      <c r="I20" s="295">
        <f t="shared" si="2"/>
        <v>130.7856923076923</v>
      </c>
      <c r="J20" s="343">
        <f t="shared" si="3"/>
        <v>223.60715384615384</v>
      </c>
    </row>
    <row r="21" spans="1:10" ht="16">
      <c r="A21" s="260">
        <f t="shared" si="4"/>
        <v>20</v>
      </c>
      <c r="B21" s="244" t="s">
        <v>555</v>
      </c>
      <c r="C21" s="146">
        <v>1559</v>
      </c>
      <c r="D21" s="364">
        <v>725.69577165355827</v>
      </c>
      <c r="E21" s="364">
        <f t="shared" si="0"/>
        <v>833.30422834644173</v>
      </c>
      <c r="F21" s="364">
        <f t="shared" si="1"/>
        <v>1142.347885826779</v>
      </c>
      <c r="G21" s="364">
        <v>939</v>
      </c>
      <c r="H21" s="364">
        <v>369.04122428831749</v>
      </c>
      <c r="I21" s="364">
        <f t="shared" si="2"/>
        <v>569.95877571168251</v>
      </c>
      <c r="J21" s="366">
        <f t="shared" si="3"/>
        <v>654.0206121441588</v>
      </c>
    </row>
    <row r="22" spans="1:10" ht="32">
      <c r="A22" s="260">
        <f t="shared" si="4"/>
        <v>21</v>
      </c>
      <c r="B22" s="244" t="s">
        <v>540</v>
      </c>
      <c r="C22" s="146">
        <v>2099</v>
      </c>
      <c r="D22" s="364">
        <v>1323.2529794871793</v>
      </c>
      <c r="E22" s="364">
        <f t="shared" si="0"/>
        <v>775.74702051282065</v>
      </c>
      <c r="F22" s="364">
        <f t="shared" si="1"/>
        <v>1711.1264897435897</v>
      </c>
      <c r="G22" s="364">
        <v>1259</v>
      </c>
      <c r="H22" s="364">
        <v>667.87101282051287</v>
      </c>
      <c r="I22" s="364">
        <f t="shared" si="2"/>
        <v>591.12898717948713</v>
      </c>
      <c r="J22" s="366">
        <f t="shared" si="3"/>
        <v>963.43550641025649</v>
      </c>
    </row>
    <row r="23" spans="1:10" ht="32">
      <c r="A23" s="260">
        <f t="shared" si="4"/>
        <v>22</v>
      </c>
      <c r="B23" s="244" t="s">
        <v>179</v>
      </c>
      <c r="C23" s="242">
        <v>499</v>
      </c>
      <c r="D23" s="295">
        <v>340.26694871794871</v>
      </c>
      <c r="E23" s="295">
        <f t="shared" ref="E23:E49" si="5">C23-D23</f>
        <v>158.73305128205129</v>
      </c>
      <c r="F23" s="295">
        <f t="shared" ref="F23:F32" si="6">(E23/2)+D23</f>
        <v>419.63347435897435</v>
      </c>
      <c r="G23" s="288">
        <v>299</v>
      </c>
      <c r="H23" s="295">
        <v>175.76378205128202</v>
      </c>
      <c r="I23" s="295">
        <f t="shared" ref="I23:I40" si="7">G23-H23</f>
        <v>123.23621794871798</v>
      </c>
      <c r="J23" s="343">
        <f t="shared" ref="J23:J32" si="8">(I23/2)+H23</f>
        <v>237.38189102564101</v>
      </c>
    </row>
    <row r="24" spans="1:10" ht="32">
      <c r="A24" s="260">
        <f t="shared" si="4"/>
        <v>23</v>
      </c>
      <c r="B24" s="244" t="s">
        <v>181</v>
      </c>
      <c r="C24" s="242">
        <v>499</v>
      </c>
      <c r="D24" s="295">
        <v>345.76694871794871</v>
      </c>
      <c r="E24" s="295">
        <f t="shared" si="5"/>
        <v>153.23305128205129</v>
      </c>
      <c r="F24" s="295">
        <f t="shared" si="6"/>
        <v>422.38347435897435</v>
      </c>
      <c r="G24" s="288">
        <v>299</v>
      </c>
      <c r="H24" s="295">
        <v>178.51378205128202</v>
      </c>
      <c r="I24" s="295">
        <f t="shared" si="7"/>
        <v>120.48621794871798</v>
      </c>
      <c r="J24" s="343">
        <f t="shared" si="8"/>
        <v>238.75689102564101</v>
      </c>
    </row>
    <row r="25" spans="1:10" ht="32">
      <c r="A25" s="260">
        <f t="shared" si="4"/>
        <v>24</v>
      </c>
      <c r="B25" s="244" t="s">
        <v>183</v>
      </c>
      <c r="C25" s="242">
        <v>499</v>
      </c>
      <c r="D25" s="295">
        <v>340.26694871794871</v>
      </c>
      <c r="E25" s="295">
        <f t="shared" si="5"/>
        <v>158.73305128205129</v>
      </c>
      <c r="F25" s="295">
        <f t="shared" si="6"/>
        <v>419.63347435897435</v>
      </c>
      <c r="G25" s="288">
        <v>299</v>
      </c>
      <c r="H25" s="295">
        <v>175.76378205128202</v>
      </c>
      <c r="I25" s="295">
        <f t="shared" si="7"/>
        <v>123.23621794871798</v>
      </c>
      <c r="J25" s="343">
        <f t="shared" si="8"/>
        <v>237.38189102564101</v>
      </c>
    </row>
    <row r="26" spans="1:10" ht="32">
      <c r="A26" s="260">
        <f t="shared" si="4"/>
        <v>25</v>
      </c>
      <c r="B26" s="244" t="s">
        <v>185</v>
      </c>
      <c r="C26" s="242">
        <v>799</v>
      </c>
      <c r="D26" s="295">
        <v>692.26694871794882</v>
      </c>
      <c r="E26" s="295">
        <f t="shared" si="5"/>
        <v>106.73305128205118</v>
      </c>
      <c r="F26" s="295">
        <f t="shared" si="6"/>
        <v>745.63347435897435</v>
      </c>
      <c r="G26" s="288">
        <v>479</v>
      </c>
      <c r="H26" s="295">
        <v>351.76378205128208</v>
      </c>
      <c r="I26" s="295">
        <f t="shared" si="7"/>
        <v>127.23621794871792</v>
      </c>
      <c r="J26" s="343">
        <f t="shared" si="8"/>
        <v>415.38189102564104</v>
      </c>
    </row>
    <row r="27" spans="1:10" ht="16">
      <c r="A27" s="260">
        <f t="shared" si="4"/>
        <v>26</v>
      </c>
      <c r="B27" s="241" t="s">
        <v>187</v>
      </c>
      <c r="C27" s="242">
        <v>369</v>
      </c>
      <c r="D27" s="295">
        <v>269.86694871794873</v>
      </c>
      <c r="E27" s="295">
        <f t="shared" si="5"/>
        <v>99.133051282051269</v>
      </c>
      <c r="F27" s="295">
        <f t="shared" si="6"/>
        <v>319.43347435897437</v>
      </c>
      <c r="G27" s="288">
        <v>219</v>
      </c>
      <c r="H27" s="295">
        <v>140.56378205128206</v>
      </c>
      <c r="I27" s="295">
        <f t="shared" si="7"/>
        <v>78.436217948717939</v>
      </c>
      <c r="J27" s="343">
        <f t="shared" si="8"/>
        <v>179.78189102564102</v>
      </c>
    </row>
    <row r="28" spans="1:10" ht="16">
      <c r="A28" s="260">
        <f t="shared" si="4"/>
        <v>27</v>
      </c>
      <c r="B28" s="241" t="s">
        <v>189</v>
      </c>
      <c r="C28" s="242">
        <v>899</v>
      </c>
      <c r="D28" s="295">
        <v>522.86694871794873</v>
      </c>
      <c r="E28" s="295">
        <f t="shared" si="5"/>
        <v>376.13305128205127</v>
      </c>
      <c r="F28" s="295">
        <f t="shared" si="6"/>
        <v>710.93347435897431</v>
      </c>
      <c r="G28" s="288">
        <v>569</v>
      </c>
      <c r="H28" s="295">
        <v>267.06378205128203</v>
      </c>
      <c r="I28" s="295">
        <f t="shared" si="7"/>
        <v>301.93621794871797</v>
      </c>
      <c r="J28" s="343">
        <f t="shared" si="8"/>
        <v>418.03189102564102</v>
      </c>
    </row>
    <row r="29" spans="1:10" ht="16">
      <c r="A29" s="260">
        <f t="shared" si="4"/>
        <v>28</v>
      </c>
      <c r="B29" s="241" t="s">
        <v>19</v>
      </c>
      <c r="C29" s="242">
        <v>1899</v>
      </c>
      <c r="D29" s="295">
        <v>627.57594871794879</v>
      </c>
      <c r="E29" s="295">
        <f t="shared" si="5"/>
        <v>1271.4240512820511</v>
      </c>
      <c r="F29" s="295">
        <f t="shared" si="6"/>
        <v>1263.2879743589742</v>
      </c>
      <c r="G29" s="288">
        <v>1139</v>
      </c>
      <c r="H29" s="295">
        <v>322.01208205128211</v>
      </c>
      <c r="I29" s="295">
        <f t="shared" si="7"/>
        <v>816.98791794871795</v>
      </c>
      <c r="J29" s="343">
        <f t="shared" si="8"/>
        <v>730.50604102564103</v>
      </c>
    </row>
    <row r="30" spans="1:10" ht="16">
      <c r="A30" s="260">
        <f t="shared" si="4"/>
        <v>29</v>
      </c>
      <c r="B30" s="241" t="s">
        <v>75</v>
      </c>
      <c r="C30" s="242">
        <v>749</v>
      </c>
      <c r="D30" s="295">
        <v>328.27841538461541</v>
      </c>
      <c r="E30" s="295">
        <f t="shared" si="5"/>
        <v>420.72158461538459</v>
      </c>
      <c r="F30" s="295">
        <f t="shared" si="6"/>
        <v>538.63920769230776</v>
      </c>
      <c r="G30" s="288">
        <v>449</v>
      </c>
      <c r="H30" s="295">
        <v>169.76951538461535</v>
      </c>
      <c r="I30" s="295">
        <f t="shared" si="7"/>
        <v>279.23048461538463</v>
      </c>
      <c r="J30" s="343">
        <f t="shared" si="8"/>
        <v>309.38475769230763</v>
      </c>
    </row>
    <row r="31" spans="1:10" ht="16">
      <c r="A31" s="260">
        <f t="shared" si="4"/>
        <v>30</v>
      </c>
      <c r="B31" s="241" t="s">
        <v>76</v>
      </c>
      <c r="C31" s="242">
        <v>749</v>
      </c>
      <c r="D31" s="295">
        <v>497.6910915750916</v>
      </c>
      <c r="E31" s="295">
        <f t="shared" si="5"/>
        <v>251.3089084249084</v>
      </c>
      <c r="F31" s="295">
        <f t="shared" si="6"/>
        <v>623.3455457875458</v>
      </c>
      <c r="G31" s="288">
        <v>449</v>
      </c>
      <c r="H31" s="295">
        <v>254.47585347985344</v>
      </c>
      <c r="I31" s="295">
        <f t="shared" si="7"/>
        <v>194.52414652014656</v>
      </c>
      <c r="J31" s="343">
        <f t="shared" si="8"/>
        <v>351.73792673992671</v>
      </c>
    </row>
    <row r="32" spans="1:10" ht="16">
      <c r="A32" s="260">
        <f t="shared" si="4"/>
        <v>31</v>
      </c>
      <c r="B32" s="241" t="s">
        <v>452</v>
      </c>
      <c r="C32" s="242">
        <v>1299</v>
      </c>
      <c r="D32" s="295">
        <v>1052.8358151978744</v>
      </c>
      <c r="E32" s="295">
        <f t="shared" si="5"/>
        <v>246.16418480212565</v>
      </c>
      <c r="F32" s="295">
        <f t="shared" si="6"/>
        <v>1175.9179075989373</v>
      </c>
      <c r="G32" s="288">
        <v>819</v>
      </c>
      <c r="H32" s="295">
        <v>532.04821529124479</v>
      </c>
      <c r="I32" s="295">
        <f t="shared" si="7"/>
        <v>286.95178470875521</v>
      </c>
      <c r="J32" s="343">
        <f t="shared" si="8"/>
        <v>675.52410764562239</v>
      </c>
    </row>
    <row r="33" spans="1:10" ht="16">
      <c r="A33" s="260">
        <f t="shared" si="4"/>
        <v>32</v>
      </c>
      <c r="B33" s="241" t="s">
        <v>69</v>
      </c>
      <c r="C33" s="146">
        <v>1899</v>
      </c>
      <c r="D33" s="364">
        <v>2396.7575153994499</v>
      </c>
      <c r="E33" s="364">
        <f t="shared" si="5"/>
        <v>-497.75751539944986</v>
      </c>
      <c r="F33" s="364">
        <v>1899</v>
      </c>
      <c r="G33" s="364">
        <v>1139</v>
      </c>
      <c r="H33" s="364">
        <v>1204.0090653920329</v>
      </c>
      <c r="I33" s="364">
        <f t="shared" si="7"/>
        <v>-65.00906539203288</v>
      </c>
      <c r="J33" s="366">
        <v>1139</v>
      </c>
    </row>
    <row r="34" spans="1:10" ht="16">
      <c r="A34" s="260">
        <f t="shared" si="4"/>
        <v>33</v>
      </c>
      <c r="B34" s="241" t="s">
        <v>554</v>
      </c>
      <c r="C34" s="146">
        <v>1299</v>
      </c>
      <c r="D34" s="364">
        <v>533.28109686609696</v>
      </c>
      <c r="E34" s="364">
        <f t="shared" si="5"/>
        <v>765.71890313390304</v>
      </c>
      <c r="F34" s="364">
        <f t="shared" ref="F34:F49" si="9">(E34/2)+D34</f>
        <v>916.14054843304848</v>
      </c>
      <c r="G34" s="364">
        <v>819</v>
      </c>
      <c r="H34" s="364">
        <v>272.27085612535609</v>
      </c>
      <c r="I34" s="364">
        <f t="shared" si="7"/>
        <v>546.72914387464391</v>
      </c>
      <c r="J34" s="366">
        <f t="shared" ref="J34:J40" si="10">(I34/2)+H34</f>
        <v>545.6354280626781</v>
      </c>
    </row>
    <row r="35" spans="1:10" ht="16">
      <c r="A35" s="260">
        <f t="shared" si="4"/>
        <v>34</v>
      </c>
      <c r="B35" s="241" t="s">
        <v>195</v>
      </c>
      <c r="C35" s="242">
        <v>749</v>
      </c>
      <c r="D35" s="295">
        <v>302.28761538461538</v>
      </c>
      <c r="E35" s="295">
        <f t="shared" si="5"/>
        <v>446.71238461538462</v>
      </c>
      <c r="F35" s="295">
        <f t="shared" si="9"/>
        <v>525.64380769230775</v>
      </c>
      <c r="G35" s="288">
        <v>449</v>
      </c>
      <c r="H35" s="295">
        <v>156.77411538461533</v>
      </c>
      <c r="I35" s="295">
        <f t="shared" si="7"/>
        <v>292.22588461538464</v>
      </c>
      <c r="J35" s="343">
        <f t="shared" si="10"/>
        <v>302.88705769230762</v>
      </c>
    </row>
    <row r="36" spans="1:10" ht="16">
      <c r="A36" s="260">
        <f t="shared" si="4"/>
        <v>35</v>
      </c>
      <c r="B36" s="241" t="s">
        <v>197</v>
      </c>
      <c r="C36" s="242">
        <v>749</v>
      </c>
      <c r="D36" s="295">
        <v>420.44331299734739</v>
      </c>
      <c r="E36" s="295">
        <f t="shared" si="5"/>
        <v>328.55668700265261</v>
      </c>
      <c r="F36" s="295">
        <f t="shared" si="9"/>
        <v>584.72165649867372</v>
      </c>
      <c r="G36" s="288">
        <v>449</v>
      </c>
      <c r="H36" s="295">
        <v>215.85196419098133</v>
      </c>
      <c r="I36" s="295">
        <f t="shared" si="7"/>
        <v>233.14803580901867</v>
      </c>
      <c r="J36" s="343">
        <f t="shared" si="10"/>
        <v>332.42598209549067</v>
      </c>
    </row>
    <row r="37" spans="1:10" ht="16">
      <c r="A37" s="260">
        <f t="shared" si="4"/>
        <v>36</v>
      </c>
      <c r="B37" s="244" t="s">
        <v>199</v>
      </c>
      <c r="C37" s="242">
        <v>1299</v>
      </c>
      <c r="D37" s="295">
        <v>893.77439391825123</v>
      </c>
      <c r="E37" s="295">
        <f t="shared" si="5"/>
        <v>405.22560608174877</v>
      </c>
      <c r="F37" s="295">
        <f t="shared" si="9"/>
        <v>1096.3871969591255</v>
      </c>
      <c r="G37" s="288">
        <v>819</v>
      </c>
      <c r="H37" s="295">
        <v>452.51750465143323</v>
      </c>
      <c r="I37" s="295">
        <f t="shared" si="7"/>
        <v>366.48249534856677</v>
      </c>
      <c r="J37" s="343">
        <f t="shared" si="10"/>
        <v>635.75875232571661</v>
      </c>
    </row>
    <row r="38" spans="1:10" ht="16">
      <c r="A38" s="260">
        <f t="shared" si="4"/>
        <v>37</v>
      </c>
      <c r="B38" s="241" t="s">
        <v>6</v>
      </c>
      <c r="C38" s="242">
        <v>749</v>
      </c>
      <c r="D38" s="295">
        <v>560.93707261175393</v>
      </c>
      <c r="E38" s="295">
        <f t="shared" si="5"/>
        <v>188.06292738824607</v>
      </c>
      <c r="F38" s="295">
        <f t="shared" si="9"/>
        <v>654.96853630587702</v>
      </c>
      <c r="G38" s="288">
        <v>449</v>
      </c>
      <c r="H38" s="295">
        <v>286.09884399818463</v>
      </c>
      <c r="I38" s="295">
        <f t="shared" si="7"/>
        <v>162.90115600181537</v>
      </c>
      <c r="J38" s="343">
        <f t="shared" si="10"/>
        <v>367.54942199909232</v>
      </c>
    </row>
    <row r="39" spans="1:10" ht="16">
      <c r="A39" s="260">
        <f t="shared" si="4"/>
        <v>38</v>
      </c>
      <c r="B39" s="241" t="s">
        <v>20</v>
      </c>
      <c r="C39" s="242">
        <v>749</v>
      </c>
      <c r="D39" s="295">
        <v>391.04248653307479</v>
      </c>
      <c r="E39" s="295">
        <f t="shared" si="5"/>
        <v>357.95751346692521</v>
      </c>
      <c r="F39" s="295">
        <f t="shared" si="9"/>
        <v>570.02124326653734</v>
      </c>
      <c r="G39" s="288">
        <v>449</v>
      </c>
      <c r="H39" s="295">
        <v>201.15155095884504</v>
      </c>
      <c r="I39" s="295">
        <f t="shared" si="7"/>
        <v>247.84844904115496</v>
      </c>
      <c r="J39" s="343">
        <f t="shared" si="10"/>
        <v>325.07577547942253</v>
      </c>
    </row>
    <row r="40" spans="1:10" ht="16">
      <c r="A40" s="260">
        <f t="shared" si="4"/>
        <v>39</v>
      </c>
      <c r="B40" s="241" t="s">
        <v>7</v>
      </c>
      <c r="C40" s="242">
        <v>1899</v>
      </c>
      <c r="D40" s="295">
        <v>1447.9477254169778</v>
      </c>
      <c r="E40" s="295">
        <f t="shared" si="5"/>
        <v>451.05227458302215</v>
      </c>
      <c r="F40" s="295">
        <f t="shared" si="9"/>
        <v>1673.4738627084889</v>
      </c>
      <c r="G40" s="288">
        <v>1139</v>
      </c>
      <c r="H40" s="295">
        <v>729.60417040079665</v>
      </c>
      <c r="I40" s="295">
        <f t="shared" si="7"/>
        <v>409.39582959920335</v>
      </c>
      <c r="J40" s="343">
        <f t="shared" si="10"/>
        <v>934.30208520039832</v>
      </c>
    </row>
    <row r="41" spans="1:10" ht="16">
      <c r="A41" s="260">
        <f t="shared" si="4"/>
        <v>40</v>
      </c>
      <c r="B41" s="241" t="s">
        <v>204</v>
      </c>
      <c r="C41" s="242">
        <v>409</v>
      </c>
      <c r="D41" s="295">
        <v>214</v>
      </c>
      <c r="E41" s="295">
        <f t="shared" si="5"/>
        <v>195</v>
      </c>
      <c r="F41" s="295">
        <f t="shared" si="9"/>
        <v>311.5</v>
      </c>
      <c r="G41" s="288"/>
      <c r="H41" s="295"/>
      <c r="I41" s="295"/>
      <c r="J41" s="343"/>
    </row>
    <row r="42" spans="1:10" ht="16">
      <c r="A42" s="260">
        <f t="shared" si="4"/>
        <v>41</v>
      </c>
      <c r="B42" s="241" t="s">
        <v>206</v>
      </c>
      <c r="C42" s="242">
        <v>569</v>
      </c>
      <c r="D42" s="295">
        <v>290.42436133152432</v>
      </c>
      <c r="E42" s="295">
        <f t="shared" si="5"/>
        <v>278.57563866847568</v>
      </c>
      <c r="F42" s="295">
        <f t="shared" si="9"/>
        <v>429.71218066576216</v>
      </c>
      <c r="G42" s="288">
        <v>359</v>
      </c>
      <c r="H42" s="295">
        <v>153.43628835806985</v>
      </c>
      <c r="I42" s="295">
        <f t="shared" ref="I42:I49" si="11">G42-H42</f>
        <v>205.56371164193015</v>
      </c>
      <c r="J42" s="343">
        <f t="shared" ref="J42:J49" si="12">(I42/2)+H42</f>
        <v>256.21814417903494</v>
      </c>
    </row>
    <row r="43" spans="1:10" ht="32">
      <c r="A43" s="260">
        <f>+A42+1</f>
        <v>42</v>
      </c>
      <c r="B43" s="241" t="s">
        <v>208</v>
      </c>
      <c r="C43" s="242">
        <v>569</v>
      </c>
      <c r="D43" s="295">
        <v>267.69664871794868</v>
      </c>
      <c r="E43" s="295">
        <f t="shared" si="5"/>
        <v>301.30335128205132</v>
      </c>
      <c r="F43" s="295">
        <f t="shared" si="9"/>
        <v>418.34832435897431</v>
      </c>
      <c r="G43" s="288">
        <v>359</v>
      </c>
      <c r="H43" s="295">
        <v>142.07243205128205</v>
      </c>
      <c r="I43" s="295">
        <f t="shared" si="11"/>
        <v>216.92756794871795</v>
      </c>
      <c r="J43" s="343">
        <f t="shared" si="12"/>
        <v>250.53621602564101</v>
      </c>
    </row>
    <row r="44" spans="1:10" ht="32">
      <c r="A44" s="260">
        <f t="shared" si="4"/>
        <v>43</v>
      </c>
      <c r="B44" s="241" t="s">
        <v>210</v>
      </c>
      <c r="C44" s="242">
        <v>569</v>
      </c>
      <c r="D44" s="295">
        <v>243.67097893492846</v>
      </c>
      <c r="E44" s="295">
        <f t="shared" si="5"/>
        <v>325.32902106507152</v>
      </c>
      <c r="F44" s="295">
        <f t="shared" si="9"/>
        <v>406.33548946746419</v>
      </c>
      <c r="G44" s="288">
        <v>359</v>
      </c>
      <c r="H44" s="295">
        <v>130.05959715977195</v>
      </c>
      <c r="I44" s="295">
        <f t="shared" si="11"/>
        <v>228.94040284022805</v>
      </c>
      <c r="J44" s="343">
        <f t="shared" si="12"/>
        <v>244.52979857988598</v>
      </c>
    </row>
    <row r="45" spans="1:10" ht="15">
      <c r="A45" s="260">
        <f t="shared" si="4"/>
        <v>44</v>
      </c>
      <c r="B45" s="146" t="s">
        <v>212</v>
      </c>
      <c r="C45" s="242">
        <v>569</v>
      </c>
      <c r="D45" s="295">
        <v>344.88908339581991</v>
      </c>
      <c r="E45" s="295">
        <f t="shared" si="5"/>
        <v>224.11091660418009</v>
      </c>
      <c r="F45" s="295">
        <f t="shared" si="9"/>
        <v>456.94454169790993</v>
      </c>
      <c r="G45" s="288">
        <v>359</v>
      </c>
      <c r="H45" s="295">
        <v>180.66864939021761</v>
      </c>
      <c r="I45" s="295">
        <f t="shared" si="11"/>
        <v>178.33135060978239</v>
      </c>
      <c r="J45" s="343">
        <f t="shared" si="12"/>
        <v>269.83432469510882</v>
      </c>
    </row>
    <row r="46" spans="1:10" ht="15">
      <c r="A46" s="260">
        <f t="shared" si="4"/>
        <v>45</v>
      </c>
      <c r="B46" s="146" t="s">
        <v>214</v>
      </c>
      <c r="C46" s="242">
        <v>569</v>
      </c>
      <c r="D46" s="295">
        <v>173.4849487179487</v>
      </c>
      <c r="E46" s="295">
        <f t="shared" si="5"/>
        <v>395.51505128205133</v>
      </c>
      <c r="F46" s="295">
        <f t="shared" si="9"/>
        <v>371.24247435897439</v>
      </c>
      <c r="G46" s="288">
        <v>359</v>
      </c>
      <c r="H46" s="295">
        <v>94.966582051282074</v>
      </c>
      <c r="I46" s="295">
        <f t="shared" si="11"/>
        <v>264.0334179487179</v>
      </c>
      <c r="J46" s="343">
        <f t="shared" si="12"/>
        <v>226.98329102564102</v>
      </c>
    </row>
    <row r="47" spans="1:10" ht="15">
      <c r="A47" s="260">
        <f t="shared" si="4"/>
        <v>46</v>
      </c>
      <c r="B47" s="146" t="s">
        <v>18</v>
      </c>
      <c r="C47" s="242">
        <v>1559</v>
      </c>
      <c r="D47" s="295">
        <v>664.33242877596206</v>
      </c>
      <c r="E47" s="295">
        <f t="shared" si="5"/>
        <v>894.66757122403794</v>
      </c>
      <c r="F47" s="295">
        <f t="shared" si="9"/>
        <v>1111.666214387981</v>
      </c>
      <c r="G47" s="288">
        <v>939</v>
      </c>
      <c r="H47" s="295">
        <v>340.39032208028868</v>
      </c>
      <c r="I47" s="295">
        <f t="shared" si="11"/>
        <v>598.60967791971132</v>
      </c>
      <c r="J47" s="343">
        <f t="shared" si="12"/>
        <v>639.69516104014428</v>
      </c>
    </row>
    <row r="48" spans="1:10" ht="15">
      <c r="A48" s="260">
        <f t="shared" si="4"/>
        <v>47</v>
      </c>
      <c r="B48" s="146" t="s">
        <v>553</v>
      </c>
      <c r="C48" s="146">
        <v>629</v>
      </c>
      <c r="D48" s="364">
        <v>411.95691846153852</v>
      </c>
      <c r="E48" s="364">
        <f t="shared" si="5"/>
        <v>217.04308153846148</v>
      </c>
      <c r="F48" s="364">
        <f t="shared" si="9"/>
        <v>520.4784592307692</v>
      </c>
      <c r="G48" s="364">
        <v>369</v>
      </c>
      <c r="H48" s="364">
        <v>205.97845923076926</v>
      </c>
      <c r="I48" s="364">
        <f t="shared" si="11"/>
        <v>163.02154076923074</v>
      </c>
      <c r="J48" s="366">
        <f t="shared" si="12"/>
        <v>287.4892296153846</v>
      </c>
    </row>
    <row r="49" spans="1:10" ht="16" thickBot="1">
      <c r="A49" s="300">
        <f t="shared" si="4"/>
        <v>48</v>
      </c>
      <c r="B49" s="365" t="s">
        <v>217</v>
      </c>
      <c r="C49" s="345">
        <v>629</v>
      </c>
      <c r="D49" s="346">
        <v>408.24559487179494</v>
      </c>
      <c r="E49" s="302">
        <f t="shared" si="5"/>
        <v>220.75440512820506</v>
      </c>
      <c r="F49" s="302">
        <f t="shared" si="9"/>
        <v>518.6227974358975</v>
      </c>
      <c r="G49" s="305">
        <v>369</v>
      </c>
      <c r="H49" s="346">
        <v>204.12279743589747</v>
      </c>
      <c r="I49" s="302">
        <f t="shared" si="11"/>
        <v>164.87720256410253</v>
      </c>
      <c r="J49" s="344">
        <f t="shared" si="12"/>
        <v>286.56139871794875</v>
      </c>
    </row>
  </sheetData>
  <conditionalFormatting sqref="G2:G20 G23:G32 G35:G47 G49">
    <cfRule type="cellIs" dxfId="11" priority="2" operator="lessThan">
      <formula>0</formula>
    </cfRule>
  </conditionalFormatting>
  <conditionalFormatting sqref="E2:E49 I2:I49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4C1B-4A49-4117-949D-F2D67743CE04}">
  <dimension ref="A1:BT1271"/>
  <sheetViews>
    <sheetView tabSelected="1" topLeftCell="X419" zoomScale="86" zoomScaleNormal="50" workbookViewId="0">
      <selection activeCell="C54" sqref="C54"/>
    </sheetView>
  </sheetViews>
  <sheetFormatPr baseColWidth="10" defaultColWidth="9" defaultRowHeight="20" customHeight="1"/>
  <cols>
    <col min="1" max="1" width="34.83203125" style="79" bestFit="1" customWidth="1"/>
    <col min="2" max="2" width="51.1640625" style="79" bestFit="1" customWidth="1"/>
    <col min="3" max="3" width="26" style="79" customWidth="1"/>
    <col min="4" max="4" width="35.5" style="79" bestFit="1" customWidth="1"/>
    <col min="5" max="5" width="52.33203125" style="79" bestFit="1" customWidth="1"/>
    <col min="6" max="6" width="45.1640625" style="79" customWidth="1"/>
    <col min="7" max="7" width="24.33203125" style="79" bestFit="1" customWidth="1"/>
    <col min="8" max="8" width="34.83203125" style="79" bestFit="1" customWidth="1"/>
    <col min="9" max="9" width="29.1640625" style="79" customWidth="1"/>
    <col min="10" max="10" width="24.33203125" style="79" bestFit="1" customWidth="1"/>
    <col min="11" max="11" width="35.5" style="79" bestFit="1" customWidth="1"/>
    <col min="12" max="12" width="49.6640625" style="79" bestFit="1" customWidth="1"/>
    <col min="13" max="13" width="22.6640625" style="79" bestFit="1" customWidth="1"/>
    <col min="14" max="15" width="26.83203125" style="79" bestFit="1" customWidth="1"/>
    <col min="16" max="16" width="20.1640625" style="79" bestFit="1" customWidth="1"/>
    <col min="17" max="17" width="19.83203125" style="79" bestFit="1" customWidth="1"/>
    <col min="18" max="18" width="26.1640625" style="79" bestFit="1" customWidth="1"/>
    <col min="19" max="19" width="23.5" style="79" bestFit="1" customWidth="1"/>
    <col min="20" max="20" width="26.5" style="79" bestFit="1" customWidth="1"/>
    <col min="21" max="21" width="29.83203125" style="79" bestFit="1" customWidth="1"/>
    <col min="22" max="22" width="24.5" style="79" bestFit="1" customWidth="1"/>
    <col min="23" max="23" width="13.5" style="79" bestFit="1" customWidth="1"/>
    <col min="24" max="24" width="29.5" style="79" bestFit="1" customWidth="1"/>
    <col min="25" max="25" width="18.1640625" style="79" bestFit="1" customWidth="1"/>
    <col min="26" max="26" width="8" style="79" bestFit="1" customWidth="1"/>
    <col min="27" max="27" width="32.6640625" style="79" customWidth="1"/>
    <col min="28" max="28" width="15.6640625" customWidth="1"/>
    <col min="29" max="29" width="16.83203125" customWidth="1"/>
    <col min="30" max="30" width="11.33203125" style="79" customWidth="1"/>
    <col min="31" max="31" width="41.83203125" style="79" bestFit="1" customWidth="1"/>
    <col min="32" max="32" width="16.6640625" style="79" customWidth="1"/>
    <col min="33" max="33" width="25" style="79" customWidth="1"/>
    <col min="34" max="34" width="12.1640625" style="79" customWidth="1"/>
    <col min="35" max="35" width="21.33203125" style="79" customWidth="1"/>
    <col min="36" max="36" width="39.33203125" style="79" customWidth="1"/>
    <col min="37" max="37" width="27.5" style="79" customWidth="1"/>
    <col min="40" max="51" width="9" style="79"/>
    <col min="58" max="70" width="9" style="79"/>
    <col min="73" max="75" width="9" style="79"/>
    <col min="76" max="76" width="13.33203125" style="79" bestFit="1" customWidth="1"/>
    <col min="77" max="77" width="10.1640625" style="79" bestFit="1" customWidth="1"/>
    <col min="78" max="16384" width="9" style="79"/>
  </cols>
  <sheetData>
    <row r="1" spans="1:46" ht="20" customHeight="1">
      <c r="A1" s="212" t="s">
        <v>276</v>
      </c>
      <c r="B1" s="162" t="s">
        <v>337</v>
      </c>
    </row>
    <row r="2" spans="1:46" ht="20" customHeight="1">
      <c r="A2" s="163">
        <v>1</v>
      </c>
      <c r="B2" s="165" t="s">
        <v>343</v>
      </c>
    </row>
    <row r="3" spans="1:46" ht="20" customHeight="1">
      <c r="A3" s="163">
        <v>2</v>
      </c>
      <c r="B3" s="165" t="s">
        <v>338</v>
      </c>
    </row>
    <row r="4" spans="1:46" ht="20" customHeight="1">
      <c r="A4" s="163">
        <v>3</v>
      </c>
      <c r="B4" s="165" t="s">
        <v>339</v>
      </c>
    </row>
    <row r="5" spans="1:46" ht="20" customHeight="1">
      <c r="A5" s="163">
        <v>4</v>
      </c>
      <c r="B5" s="165" t="s">
        <v>340</v>
      </c>
    </row>
    <row r="6" spans="1:46" ht="20" customHeight="1">
      <c r="A6" s="163">
        <v>5</v>
      </c>
      <c r="B6" s="165" t="s">
        <v>341</v>
      </c>
    </row>
    <row r="7" spans="1:46" ht="20" customHeight="1">
      <c r="A7" s="163">
        <v>6</v>
      </c>
      <c r="B7" s="165" t="s">
        <v>342</v>
      </c>
    </row>
    <row r="8" spans="1:46" ht="20" customHeight="1">
      <c r="A8" s="163">
        <v>7</v>
      </c>
      <c r="B8" s="166" t="s">
        <v>352</v>
      </c>
    </row>
    <row r="9" spans="1:46" ht="20" customHeight="1">
      <c r="A9" s="163">
        <v>8</v>
      </c>
      <c r="B9" s="166" t="s">
        <v>353</v>
      </c>
    </row>
    <row r="10" spans="1:46" ht="20" customHeight="1">
      <c r="A10" s="163">
        <v>9</v>
      </c>
      <c r="B10" s="213" t="s">
        <v>400</v>
      </c>
    </row>
    <row r="11" spans="1:46" ht="20" customHeight="1">
      <c r="A11" s="163">
        <v>10</v>
      </c>
      <c r="B11" s="166" t="s">
        <v>354</v>
      </c>
      <c r="AT11" s="133"/>
    </row>
    <row r="12" spans="1:46" ht="20" customHeight="1">
      <c r="A12" s="163">
        <v>11</v>
      </c>
      <c r="B12" s="166" t="s">
        <v>355</v>
      </c>
    </row>
    <row r="13" spans="1:46" ht="20" customHeight="1">
      <c r="A13" s="163">
        <v>12</v>
      </c>
      <c r="B13" s="166" t="s">
        <v>401</v>
      </c>
    </row>
    <row r="14" spans="1:46" ht="20" customHeight="1">
      <c r="A14" s="163">
        <v>13</v>
      </c>
      <c r="B14" s="166" t="s">
        <v>402</v>
      </c>
    </row>
    <row r="17" spans="1:36" ht="20" customHeight="1" thickBot="1"/>
    <row r="18" spans="1:36" ht="20" customHeight="1">
      <c r="A18" s="154">
        <v>1</v>
      </c>
      <c r="B18" s="155">
        <f>+A18+1</f>
        <v>2</v>
      </c>
      <c r="C18" s="155">
        <f t="shared" ref="C18" si="0">+B18+1</f>
        <v>3</v>
      </c>
      <c r="D18" s="155">
        <f t="shared" ref="D18" si="1">+C18+1</f>
        <v>4</v>
      </c>
      <c r="E18" s="155">
        <f t="shared" ref="E18" si="2">+D18+1</f>
        <v>5</v>
      </c>
      <c r="F18" s="155">
        <f t="shared" ref="F18" si="3">+E18+1</f>
        <v>6</v>
      </c>
      <c r="G18" s="155">
        <f t="shared" ref="G18" si="4">+F18+1</f>
        <v>7</v>
      </c>
      <c r="H18" s="155">
        <f t="shared" ref="H18" si="5">+G18+1</f>
        <v>8</v>
      </c>
      <c r="I18" s="155">
        <f t="shared" ref="I18" si="6">+H18+1</f>
        <v>9</v>
      </c>
      <c r="J18" s="155">
        <f t="shared" ref="J18" si="7">+I18+1</f>
        <v>10</v>
      </c>
      <c r="K18" s="155">
        <f t="shared" ref="K18" si="8">+J18+1</f>
        <v>11</v>
      </c>
      <c r="L18" s="155">
        <f t="shared" ref="L18" si="9">+K18+1</f>
        <v>12</v>
      </c>
      <c r="M18" s="155">
        <f t="shared" ref="M18" si="10">+L18+1</f>
        <v>13</v>
      </c>
      <c r="N18" s="155">
        <f t="shared" ref="N18" si="11">+M18+1</f>
        <v>14</v>
      </c>
      <c r="O18" s="155">
        <f t="shared" ref="O18" si="12">+N18+1</f>
        <v>15</v>
      </c>
      <c r="P18" s="155">
        <f t="shared" ref="P18" si="13">+O18+1</f>
        <v>16</v>
      </c>
      <c r="Q18" s="155">
        <f t="shared" ref="Q18" si="14">+P18+1</f>
        <v>17</v>
      </c>
      <c r="R18" s="155">
        <f t="shared" ref="R18" si="15">+Q18+1</f>
        <v>18</v>
      </c>
      <c r="S18" s="155">
        <f t="shared" ref="S18" si="16">+R18+1</f>
        <v>19</v>
      </c>
      <c r="T18" s="155">
        <f t="shared" ref="T18" si="17">+S18+1</f>
        <v>20</v>
      </c>
      <c r="U18" s="155">
        <f t="shared" ref="U18" si="18">+T18+1</f>
        <v>21</v>
      </c>
      <c r="V18" s="155">
        <f t="shared" ref="V18" si="19">+U18+1</f>
        <v>22</v>
      </c>
      <c r="W18" s="156">
        <f t="shared" ref="W18" si="20">+V18+1</f>
        <v>23</v>
      </c>
    </row>
    <row r="19" spans="1:36" ht="20" customHeight="1">
      <c r="A19" s="157"/>
      <c r="B19" s="111"/>
      <c r="C19" s="111"/>
      <c r="D19" s="78" t="s">
        <v>8</v>
      </c>
      <c r="E19" s="78" t="s">
        <v>9</v>
      </c>
      <c r="F19" s="80"/>
      <c r="G19" s="78" t="s">
        <v>10</v>
      </c>
      <c r="H19" s="78" t="s">
        <v>11</v>
      </c>
      <c r="I19" s="78" t="s">
        <v>131</v>
      </c>
      <c r="J19" s="78" t="s">
        <v>132</v>
      </c>
      <c r="K19" s="78" t="s">
        <v>123</v>
      </c>
      <c r="L19" s="78" t="s">
        <v>124</v>
      </c>
      <c r="M19" s="78" t="s">
        <v>133</v>
      </c>
      <c r="N19" s="78" t="s">
        <v>134</v>
      </c>
      <c r="O19" s="78" t="s">
        <v>135</v>
      </c>
      <c r="P19" s="78" t="s">
        <v>136</v>
      </c>
      <c r="Q19" s="78" t="s">
        <v>137</v>
      </c>
      <c r="R19" s="78" t="s">
        <v>138</v>
      </c>
      <c r="S19" s="78" t="s">
        <v>139</v>
      </c>
      <c r="T19" s="81" t="s">
        <v>140</v>
      </c>
      <c r="U19" s="81" t="s">
        <v>141</v>
      </c>
      <c r="V19" s="81" t="s">
        <v>143</v>
      </c>
      <c r="W19" s="158" t="s">
        <v>144</v>
      </c>
    </row>
    <row r="20" spans="1:36" ht="30" customHeight="1">
      <c r="A20" s="159" t="s">
        <v>62</v>
      </c>
      <c r="B20" s="86" t="s">
        <v>121</v>
      </c>
      <c r="C20" s="86" t="s">
        <v>77</v>
      </c>
      <c r="D20" s="86" t="s">
        <v>220</v>
      </c>
      <c r="E20" s="86" t="s">
        <v>21</v>
      </c>
      <c r="F20" s="86" t="s">
        <v>368</v>
      </c>
      <c r="G20" s="86" t="s">
        <v>221</v>
      </c>
      <c r="H20" s="86" t="s">
        <v>142</v>
      </c>
      <c r="I20" s="86" t="s">
        <v>21</v>
      </c>
      <c r="J20" s="86" t="s">
        <v>127</v>
      </c>
      <c r="K20" s="86" t="s">
        <v>22</v>
      </c>
      <c r="L20" s="86" t="s">
        <v>21</v>
      </c>
      <c r="M20" s="86" t="s">
        <v>128</v>
      </c>
      <c r="N20" s="86" t="s">
        <v>23</v>
      </c>
      <c r="O20" s="86" t="s">
        <v>21</v>
      </c>
      <c r="P20" s="86" t="s">
        <v>129</v>
      </c>
      <c r="Q20" s="86" t="s">
        <v>26</v>
      </c>
      <c r="R20" s="86" t="s">
        <v>21</v>
      </c>
      <c r="S20" s="86" t="s">
        <v>130</v>
      </c>
      <c r="T20" s="86" t="s">
        <v>222</v>
      </c>
      <c r="U20" s="86" t="s">
        <v>223</v>
      </c>
      <c r="V20" s="86" t="s">
        <v>224</v>
      </c>
      <c r="W20" s="160" t="s">
        <v>225</v>
      </c>
    </row>
    <row r="21" spans="1:36" ht="20" customHeight="1">
      <c r="A21" s="191"/>
      <c r="B21" s="194" t="s">
        <v>393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3"/>
    </row>
    <row r="22" spans="1:36" ht="20" customHeight="1">
      <c r="A22" s="161">
        <v>1</v>
      </c>
      <c r="B22" s="87" t="s">
        <v>113</v>
      </c>
      <c r="C22" s="87" t="s">
        <v>404</v>
      </c>
      <c r="D22" s="167">
        <f>+VLOOKUP($B22,'Master Data'!$B$453:$R$543,MATCH('Master Data'!$C22,'Master Data'!$B$453:$R$453,0),FALSE)</f>
        <v>450</v>
      </c>
      <c r="E22" s="326">
        <f>INDEX($AG$434:$AH$449,MATCH($C22,$AG$434:$AG$449,0),2)*D22</f>
        <v>22.5</v>
      </c>
      <c r="F22" s="80">
        <f>IF(C22="Ali kikabai",D22*0.008,0)</f>
        <v>0</v>
      </c>
      <c r="G22" s="167">
        <f>+D22+E22+F22</f>
        <v>472.5</v>
      </c>
      <c r="H22" s="167">
        <f t="shared" ref="H22:H53" si="21">INDEX($B$433:$N$449,MATCH($C22,$B$433:$B$449,0),MATCH(H$20,$B$433:$N$433,0))</f>
        <v>0</v>
      </c>
      <c r="I22" s="167"/>
      <c r="J22" s="167">
        <f>+VLOOKUP($C22,'Master Data'!$B$433:$N$449,4,FALSE)</f>
        <v>0</v>
      </c>
      <c r="K22" s="167">
        <f>+VLOOKUP($C22,'Master Data'!$B$433:$N$449,5,FALSE)</f>
        <v>0</v>
      </c>
      <c r="L22" s="167"/>
      <c r="M22" s="167">
        <f>+VLOOKUP($C22,'Master Data'!$B$433:$N$449,7,FALSE)</f>
        <v>0</v>
      </c>
      <c r="N22" s="167">
        <f>+VLOOKUP($C22,'Master Data'!$B$433:$N$449,8,FALSE)</f>
        <v>0</v>
      </c>
      <c r="O22" s="167"/>
      <c r="P22" s="167">
        <f>+VLOOKUP($C22,'Master Data'!$B$433:$N$449,10,FALSE)</f>
        <v>0</v>
      </c>
      <c r="Q22" s="167">
        <f>+VLOOKUP($C22,'Master Data'!$B$433:$N$449,11,FALSE)</f>
        <v>4</v>
      </c>
      <c r="R22" s="167"/>
      <c r="S22" s="167">
        <f>+VLOOKUP($C22,'Master Data'!$B$433:$N$449,13,FALSE)</f>
        <v>4</v>
      </c>
      <c r="T22" s="167">
        <f t="shared" ref="T22:T53" si="22">IF(D22=0,0,$D22+$H22+$K22+$N22+$Q22)</f>
        <v>454</v>
      </c>
      <c r="U22" s="167">
        <f>IF(G22=0,0,G22+J22+M22+P22+S22)</f>
        <v>476.5</v>
      </c>
      <c r="V22" s="167">
        <f t="shared" ref="V22:V53" si="23">+$T22/1000</f>
        <v>0.45400000000000001</v>
      </c>
      <c r="W22" s="169">
        <f t="shared" ref="W22:W53" si="24">+$U22/1000</f>
        <v>0.47649999999999998</v>
      </c>
    </row>
    <row r="23" spans="1:36" ht="20" customHeight="1">
      <c r="A23" s="161">
        <f>+A22+1</f>
        <v>2</v>
      </c>
      <c r="B23" s="88" t="s">
        <v>19</v>
      </c>
      <c r="C23" s="88" t="s">
        <v>78</v>
      </c>
      <c r="D23" s="167">
        <f>+VLOOKUP($B23,'Master Data'!$B$453:$R$543,MATCH('Master Data'!$C23,'Master Data'!$B$453:$R$453,0),FALSE)</f>
        <v>534</v>
      </c>
      <c r="E23" s="326">
        <f>INDEX($AG$434:$AH$448,MATCH($C23,$AG$434:$AG$448,0),2)*D23</f>
        <v>26.700000000000003</v>
      </c>
      <c r="F23" s="80">
        <f>IF(C23="Ali kikabai",D23*0.008,0)</f>
        <v>0</v>
      </c>
      <c r="G23" s="167">
        <f t="shared" ref="G23:G86" si="25">+D23+E23+F23</f>
        <v>560.70000000000005</v>
      </c>
      <c r="H23" s="167">
        <f t="shared" si="21"/>
        <v>0</v>
      </c>
      <c r="I23" s="167"/>
      <c r="J23" s="167">
        <f>+VLOOKUP($C23,'Master Data'!$B$433:$N$449,4,FALSE)</f>
        <v>0</v>
      </c>
      <c r="K23" s="167">
        <f>+VLOOKUP($C23,'Master Data'!$B$433:$N$449,5,FALSE)</f>
        <v>0</v>
      </c>
      <c r="L23" s="167"/>
      <c r="M23" s="167">
        <f>+VLOOKUP($C23,'Master Data'!$B$433:$N$449,7,FALSE)</f>
        <v>0</v>
      </c>
      <c r="N23" s="167">
        <f>+VLOOKUP($C23,'Master Data'!$B$433:$N$449,8,FALSE)</f>
        <v>0</v>
      </c>
      <c r="O23" s="167"/>
      <c r="P23" s="167">
        <f>+VLOOKUP($C23,'Master Data'!$B$433:$N$449,10,FALSE)</f>
        <v>0</v>
      </c>
      <c r="Q23" s="167">
        <f>+VLOOKUP($C23,'Master Data'!$B$433:$N$449,11,FALSE)</f>
        <v>4</v>
      </c>
      <c r="R23" s="167"/>
      <c r="S23" s="167">
        <f>+VLOOKUP($C23,'Master Data'!$B$433:$N$449,13,FALSE)</f>
        <v>4</v>
      </c>
      <c r="T23" s="167">
        <f t="shared" si="22"/>
        <v>538</v>
      </c>
      <c r="U23" s="167">
        <f t="shared" ref="U23:U86" si="26">IF(G23=0,0,G23+J23+M23+P23+S23)</f>
        <v>564.70000000000005</v>
      </c>
      <c r="V23" s="167">
        <f t="shared" si="23"/>
        <v>0.53800000000000003</v>
      </c>
      <c r="W23" s="169">
        <f t="shared" si="24"/>
        <v>0.56470000000000009</v>
      </c>
    </row>
    <row r="24" spans="1:36" ht="20" customHeight="1">
      <c r="A24" s="161">
        <f t="shared" ref="A24:A88" si="27">+A23+1</f>
        <v>3</v>
      </c>
      <c r="B24" s="88" t="s">
        <v>114</v>
      </c>
      <c r="C24" s="88" t="s">
        <v>404</v>
      </c>
      <c r="D24" s="167">
        <f>+VLOOKUP($B24,'Master Data'!$B$453:$R$543,MATCH('Master Data'!$C24,'Master Data'!$B$453:$R$453,0),FALSE)</f>
        <v>280</v>
      </c>
      <c r="E24" s="326">
        <f>INDEX($AG$434:$AH$448,MATCH($C24,$AG$434:$AG$448,0),2)*D24</f>
        <v>14</v>
      </c>
      <c r="F24" s="80">
        <f t="shared" ref="F24:F87" si="28">IF(C24="Ali kikabai",D24*0.008,0)</f>
        <v>0</v>
      </c>
      <c r="G24" s="167">
        <f t="shared" si="25"/>
        <v>294</v>
      </c>
      <c r="H24" s="167">
        <f t="shared" si="21"/>
        <v>0</v>
      </c>
      <c r="I24" s="167"/>
      <c r="J24" s="167">
        <f>+VLOOKUP($C24,'Master Data'!$B$433:$N$449,4,FALSE)</f>
        <v>0</v>
      </c>
      <c r="K24" s="167">
        <f>+VLOOKUP($C24,'Master Data'!$B$433:$N$449,5,FALSE)</f>
        <v>0</v>
      </c>
      <c r="L24" s="167"/>
      <c r="M24" s="167">
        <f>+VLOOKUP($C24,'Master Data'!$B$433:$N$449,7,FALSE)</f>
        <v>0</v>
      </c>
      <c r="N24" s="167">
        <f>+VLOOKUP($C24,'Master Data'!$B$433:$N$449,8,FALSE)</f>
        <v>0</v>
      </c>
      <c r="O24" s="167"/>
      <c r="P24" s="167">
        <f>+VLOOKUP($C24,'Master Data'!$B$433:$N$449,10,FALSE)</f>
        <v>0</v>
      </c>
      <c r="Q24" s="167">
        <f>+VLOOKUP($C24,'Master Data'!$B$433:$N$449,11,FALSE)</f>
        <v>4</v>
      </c>
      <c r="R24" s="167"/>
      <c r="S24" s="167">
        <f>+VLOOKUP($C24,'Master Data'!$B$433:$N$449,13,FALSE)</f>
        <v>4</v>
      </c>
      <c r="T24" s="167">
        <f t="shared" si="22"/>
        <v>284</v>
      </c>
      <c r="U24" s="167">
        <f t="shared" si="26"/>
        <v>298</v>
      </c>
      <c r="V24" s="167">
        <f t="shared" si="23"/>
        <v>0.28399999999999997</v>
      </c>
      <c r="W24" s="169">
        <f t="shared" si="24"/>
        <v>0.29799999999999999</v>
      </c>
    </row>
    <row r="25" spans="1:36" ht="20" customHeight="1">
      <c r="A25" s="161">
        <f t="shared" si="27"/>
        <v>4</v>
      </c>
      <c r="B25" s="87" t="s">
        <v>59</v>
      </c>
      <c r="C25" s="87" t="s">
        <v>404</v>
      </c>
      <c r="D25" s="167">
        <f>+VLOOKUP($B25,'Master Data'!$B$453:$R$543,MATCH('Master Data'!$C25,'Master Data'!$B$453:$R$453,0),FALSE)</f>
        <v>650</v>
      </c>
      <c r="E25" s="326">
        <f>INDEX($AG$434:$AH$448,MATCH($C25,$AG$434:$AG$448,0),2)*D25</f>
        <v>32.5</v>
      </c>
      <c r="F25" s="80">
        <f t="shared" si="28"/>
        <v>0</v>
      </c>
      <c r="G25" s="167">
        <f t="shared" si="25"/>
        <v>682.5</v>
      </c>
      <c r="H25" s="167">
        <f t="shared" si="21"/>
        <v>0</v>
      </c>
      <c r="I25" s="167"/>
      <c r="J25" s="167">
        <f>+VLOOKUP($C25,'Master Data'!$B$433:$N$449,4,FALSE)</f>
        <v>0</v>
      </c>
      <c r="K25" s="167">
        <f>+VLOOKUP($C25,'Master Data'!$B$433:$N$449,5,FALSE)</f>
        <v>0</v>
      </c>
      <c r="L25" s="167"/>
      <c r="M25" s="167">
        <f>+VLOOKUP($C25,'Master Data'!$B$433:$N$449,7,FALSE)</f>
        <v>0</v>
      </c>
      <c r="N25" s="167">
        <f>+VLOOKUP($C25,'Master Data'!$B$433:$N$449,8,FALSE)</f>
        <v>0</v>
      </c>
      <c r="O25" s="167"/>
      <c r="P25" s="167">
        <f>+VLOOKUP($C25,'Master Data'!$B$433:$N$449,10,FALSE)</f>
        <v>0</v>
      </c>
      <c r="Q25" s="167">
        <f>+VLOOKUP($C25,'Master Data'!$B$433:$N$449,11,FALSE)</f>
        <v>4</v>
      </c>
      <c r="R25" s="167"/>
      <c r="S25" s="167">
        <f>+VLOOKUP($C25,'Master Data'!$B$433:$N$449,13,FALSE)</f>
        <v>4</v>
      </c>
      <c r="T25" s="167">
        <f t="shared" si="22"/>
        <v>654</v>
      </c>
      <c r="U25" s="167">
        <f t="shared" si="26"/>
        <v>686.5</v>
      </c>
      <c r="V25" s="167">
        <f t="shared" si="23"/>
        <v>0.65400000000000003</v>
      </c>
      <c r="W25" s="169">
        <f t="shared" si="24"/>
        <v>0.6865</v>
      </c>
    </row>
    <row r="26" spans="1:36" ht="20" customHeight="1">
      <c r="A26" s="161">
        <f t="shared" si="27"/>
        <v>5</v>
      </c>
      <c r="B26" s="88" t="s">
        <v>158</v>
      </c>
      <c r="C26" s="88" t="s">
        <v>366</v>
      </c>
      <c r="D26" s="167">
        <f>+VLOOKUP($B26,'Master Data'!$B$453:$R$543,MATCH('Master Data'!$C26,'Master Data'!$B$453:$R$453,0),FALSE)</f>
        <v>165</v>
      </c>
      <c r="E26" s="326">
        <f>INDEX($AG$434:$AH$448,MATCH($C26,$AG$434:$AG$448,0),2)*D26</f>
        <v>8.25</v>
      </c>
      <c r="F26" s="80">
        <f t="shared" si="28"/>
        <v>1.32</v>
      </c>
      <c r="G26" s="167">
        <f t="shared" si="25"/>
        <v>174.57</v>
      </c>
      <c r="H26" s="167">
        <f t="shared" si="21"/>
        <v>0.6</v>
      </c>
      <c r="I26" s="167"/>
      <c r="J26" s="167">
        <f>+VLOOKUP($C26,'Master Data'!$B$433:$N$449,4,FALSE)</f>
        <v>0.6</v>
      </c>
      <c r="K26" s="167">
        <f>+VLOOKUP($C26,'Master Data'!$B$433:$N$449,5,FALSE)</f>
        <v>0</v>
      </c>
      <c r="L26" s="167"/>
      <c r="M26" s="167">
        <f>+VLOOKUP($C26,'Master Data'!$B$433:$N$449,7,FALSE)</f>
        <v>0</v>
      </c>
      <c r="N26" s="167">
        <f>+VLOOKUP($C26,'Master Data'!$B$433:$N$449,8,FALSE)</f>
        <v>8</v>
      </c>
      <c r="O26" s="167"/>
      <c r="P26" s="167">
        <f>+VLOOKUP($C26,'Master Data'!$B$433:$N$449,10,FALSE)</f>
        <v>0</v>
      </c>
      <c r="Q26" s="167">
        <f>+VLOOKUP($C26,'Master Data'!$B$433:$N$449,11,FALSE)</f>
        <v>0</v>
      </c>
      <c r="R26" s="167"/>
      <c r="S26" s="167">
        <f>+VLOOKUP($C26,'Master Data'!$B$433:$N$449,13,FALSE)</f>
        <v>3</v>
      </c>
      <c r="T26" s="167">
        <f t="shared" si="22"/>
        <v>173.6</v>
      </c>
      <c r="U26" s="167">
        <f t="shared" si="26"/>
        <v>178.17</v>
      </c>
      <c r="V26" s="167">
        <f t="shared" si="23"/>
        <v>0.1736</v>
      </c>
      <c r="W26" s="169">
        <f t="shared" si="24"/>
        <v>0.17817</v>
      </c>
    </row>
    <row r="27" spans="1:36" ht="33" customHeight="1">
      <c r="A27" s="161">
        <f t="shared" si="27"/>
        <v>6</v>
      </c>
      <c r="B27" s="88" t="s">
        <v>43</v>
      </c>
      <c r="C27" s="88" t="s">
        <v>78</v>
      </c>
      <c r="D27" s="167">
        <f>+VLOOKUP($B27,'Master Data'!$B$453:$R$543,MATCH('Master Data'!$C27,'Master Data'!$B$453:$R$453,0),FALSE)</f>
        <v>84</v>
      </c>
      <c r="E27" s="326">
        <f>INDEX($AG$434:$AH$448,MATCH($C27,$AG$434:$AG$448,0),2)*D27</f>
        <v>4.2</v>
      </c>
      <c r="F27" s="80">
        <f t="shared" si="28"/>
        <v>0</v>
      </c>
      <c r="G27" s="167">
        <f t="shared" si="25"/>
        <v>88.2</v>
      </c>
      <c r="H27" s="167">
        <f t="shared" si="21"/>
        <v>0</v>
      </c>
      <c r="I27" s="167"/>
      <c r="J27" s="167">
        <f>+VLOOKUP($C27,'Master Data'!$B$433:$N$449,4,FALSE)</f>
        <v>0</v>
      </c>
      <c r="K27" s="167">
        <f>+VLOOKUP($C27,'Master Data'!$B$433:$N$449,5,FALSE)</f>
        <v>0</v>
      </c>
      <c r="L27" s="167"/>
      <c r="M27" s="167">
        <f>+VLOOKUP($C27,'Master Data'!$B$433:$N$449,7,FALSE)</f>
        <v>0</v>
      </c>
      <c r="N27" s="167">
        <f>+VLOOKUP($C27,'Master Data'!$B$433:$N$449,8,FALSE)</f>
        <v>0</v>
      </c>
      <c r="O27" s="167"/>
      <c r="P27" s="167">
        <f>+VLOOKUP($C27,'Master Data'!$B$433:$N$449,10,FALSE)</f>
        <v>0</v>
      </c>
      <c r="Q27" s="167">
        <f>+VLOOKUP($C27,'Master Data'!$B$433:$N$449,11,FALSE)</f>
        <v>4</v>
      </c>
      <c r="R27" s="167"/>
      <c r="S27" s="167">
        <f>+VLOOKUP($C27,'Master Data'!$B$433:$N$449,13,FALSE)</f>
        <v>4</v>
      </c>
      <c r="T27" s="167">
        <f t="shared" si="22"/>
        <v>88</v>
      </c>
      <c r="U27" s="167">
        <f t="shared" si="26"/>
        <v>92.2</v>
      </c>
      <c r="V27" s="167">
        <f t="shared" si="23"/>
        <v>8.7999999999999995E-2</v>
      </c>
      <c r="W27" s="169">
        <f t="shared" si="24"/>
        <v>9.2200000000000004E-2</v>
      </c>
      <c r="AA27" s="389" t="s">
        <v>431</v>
      </c>
      <c r="AB27" s="389"/>
      <c r="AE27" s="389" t="s">
        <v>430</v>
      </c>
      <c r="AF27" s="389"/>
      <c r="AI27" s="388" t="s">
        <v>449</v>
      </c>
      <c r="AJ27" s="388"/>
    </row>
    <row r="28" spans="1:36" ht="20" customHeight="1">
      <c r="A28" s="161">
        <f t="shared" si="27"/>
        <v>7</v>
      </c>
      <c r="B28" s="182" t="s">
        <v>80</v>
      </c>
      <c r="C28" s="88" t="s">
        <v>78</v>
      </c>
      <c r="D28" s="167">
        <f>+VLOOKUP($B28,'Master Data'!$B$453:$R$543,MATCH('Master Data'!$C28,'Master Data'!$B$453:$R$453,0),FALSE)</f>
        <v>96</v>
      </c>
      <c r="E28" s="168">
        <v>0</v>
      </c>
      <c r="F28" s="80">
        <f t="shared" si="28"/>
        <v>0</v>
      </c>
      <c r="G28" s="167">
        <f t="shared" si="25"/>
        <v>96</v>
      </c>
      <c r="H28" s="167">
        <f t="shared" si="21"/>
        <v>0</v>
      </c>
      <c r="I28" s="167"/>
      <c r="J28" s="167">
        <f>+VLOOKUP($C28,'Master Data'!$B$433:$N$449,4,FALSE)</f>
        <v>0</v>
      </c>
      <c r="K28" s="167">
        <f>+VLOOKUP($C28,'Master Data'!$B$433:$N$449,5,FALSE)</f>
        <v>0</v>
      </c>
      <c r="L28" s="167"/>
      <c r="M28" s="167">
        <f>+VLOOKUP($C28,'Master Data'!$B$433:$N$449,7,FALSE)</f>
        <v>0</v>
      </c>
      <c r="N28" s="167">
        <f>+VLOOKUP($C28,'Master Data'!$B$433:$N$449,8,FALSE)</f>
        <v>0</v>
      </c>
      <c r="O28" s="167"/>
      <c r="P28" s="167">
        <f>+VLOOKUP($C28,'Master Data'!$B$433:$N$449,10,FALSE)</f>
        <v>0</v>
      </c>
      <c r="Q28" s="167">
        <f>+VLOOKUP($C28,'Master Data'!$B$433:$N$449,11,FALSE)</f>
        <v>4</v>
      </c>
      <c r="R28" s="167"/>
      <c r="S28" s="167">
        <f>+VLOOKUP($C28,'Master Data'!$B$433:$N$449,13,FALSE)</f>
        <v>4</v>
      </c>
      <c r="T28" s="167">
        <f t="shared" si="22"/>
        <v>100</v>
      </c>
      <c r="U28" s="167">
        <f t="shared" si="26"/>
        <v>100</v>
      </c>
      <c r="V28" s="167">
        <f t="shared" si="23"/>
        <v>0.1</v>
      </c>
      <c r="W28" s="169">
        <f t="shared" si="24"/>
        <v>0.1</v>
      </c>
      <c r="AA28" s="91" t="s">
        <v>237</v>
      </c>
      <c r="AB28" s="275">
        <f>'Master Data'!V167</f>
        <v>54</v>
      </c>
      <c r="AE28" s="80" t="s">
        <v>413</v>
      </c>
      <c r="AF28" s="272">
        <v>35000</v>
      </c>
      <c r="AG28"/>
      <c r="AI28" s="80" t="s">
        <v>267</v>
      </c>
      <c r="AJ28" s="277">
        <f>VLOOKUP($AI$28,B:W,22,FALSE)</f>
        <v>57.771000000000001</v>
      </c>
    </row>
    <row r="29" spans="1:36" ht="20" customHeight="1">
      <c r="A29" s="161">
        <f t="shared" si="27"/>
        <v>8</v>
      </c>
      <c r="B29" s="88" t="s">
        <v>15</v>
      </c>
      <c r="C29" s="88" t="s">
        <v>366</v>
      </c>
      <c r="D29" s="167">
        <f>+VLOOKUP($B29,'Master Data'!$B$453:$R$543,MATCH('Master Data'!$C29,'Master Data'!$B$453:$R$453,0),FALSE)</f>
        <v>1950</v>
      </c>
      <c r="E29" s="326">
        <f t="shared" ref="E29:E41" si="29">INDEX($AG$434:$AH$448,MATCH($C29,$AG$434:$AG$448,0),2)*D29</f>
        <v>97.5</v>
      </c>
      <c r="F29" s="80">
        <f t="shared" si="28"/>
        <v>15.6</v>
      </c>
      <c r="G29" s="167">
        <f t="shared" si="25"/>
        <v>2063.1</v>
      </c>
      <c r="H29" s="167">
        <f t="shared" si="21"/>
        <v>0.6</v>
      </c>
      <c r="I29" s="167"/>
      <c r="J29" s="167">
        <f>+VLOOKUP($C29,'Master Data'!$B$433:$N$449,4,FALSE)</f>
        <v>0.6</v>
      </c>
      <c r="K29" s="167">
        <f>+VLOOKUP($C29,'Master Data'!$B$433:$N$449,5,FALSE)</f>
        <v>0</v>
      </c>
      <c r="L29" s="167"/>
      <c r="M29" s="167">
        <f>+VLOOKUP($C29,'Master Data'!$B$433:$N$449,7,FALSE)</f>
        <v>0</v>
      </c>
      <c r="N29" s="167">
        <f>+VLOOKUP($C29,'Master Data'!$B$433:$N$449,8,FALSE)</f>
        <v>8</v>
      </c>
      <c r="O29" s="167"/>
      <c r="P29" s="167">
        <f>+VLOOKUP($C29,'Master Data'!$B$433:$N$449,10,FALSE)</f>
        <v>0</v>
      </c>
      <c r="Q29" s="167">
        <f>+VLOOKUP($C29,'Master Data'!$B$433:$N$449,11,FALSE)</f>
        <v>0</v>
      </c>
      <c r="R29" s="167"/>
      <c r="S29" s="167">
        <f>+VLOOKUP($C29,'Master Data'!$B$433:$N$449,13,FALSE)</f>
        <v>3</v>
      </c>
      <c r="T29" s="167">
        <f t="shared" si="22"/>
        <v>1958.6</v>
      </c>
      <c r="U29" s="167">
        <f t="shared" si="26"/>
        <v>2066.6999999999998</v>
      </c>
      <c r="V29" s="167">
        <f t="shared" si="23"/>
        <v>1.9585999999999999</v>
      </c>
      <c r="W29" s="169">
        <f t="shared" si="24"/>
        <v>2.0667</v>
      </c>
      <c r="AA29" s="91" t="s">
        <v>238</v>
      </c>
      <c r="AB29" s="275">
        <f>'Master Data'!V172</f>
        <v>55</v>
      </c>
      <c r="AE29" s="80" t="s">
        <v>416</v>
      </c>
      <c r="AF29" s="273">
        <v>0.2</v>
      </c>
      <c r="AI29" s="80" t="s">
        <v>286</v>
      </c>
      <c r="AJ29" s="277">
        <f>AJ28</f>
        <v>57.771000000000001</v>
      </c>
    </row>
    <row r="30" spans="1:36" ht="20" customHeight="1">
      <c r="A30" s="161">
        <f t="shared" si="27"/>
        <v>9</v>
      </c>
      <c r="B30" s="88" t="s">
        <v>542</v>
      </c>
      <c r="C30" s="88" t="s">
        <v>366</v>
      </c>
      <c r="D30" s="167">
        <f>+VLOOKUP($B30,'Master Data'!$B$453:$R$543,MATCH('Master Data'!$C30,'Master Data'!$B$453:$R$453,0),FALSE)</f>
        <v>0</v>
      </c>
      <c r="E30" s="326">
        <f t="shared" si="29"/>
        <v>0</v>
      </c>
      <c r="F30" s="80">
        <f t="shared" si="28"/>
        <v>0</v>
      </c>
      <c r="G30" s="167">
        <f t="shared" si="25"/>
        <v>0</v>
      </c>
      <c r="H30" s="167">
        <f t="shared" si="21"/>
        <v>0.6</v>
      </c>
      <c r="I30" s="167"/>
      <c r="J30" s="167">
        <f>+VLOOKUP($C30,'Master Data'!$B$433:$N$449,4,FALSE)</f>
        <v>0.6</v>
      </c>
      <c r="K30" s="167">
        <f>+VLOOKUP($C30,'Master Data'!$B$433:$N$449,5,FALSE)</f>
        <v>0</v>
      </c>
      <c r="L30" s="167"/>
      <c r="M30" s="167">
        <f>+VLOOKUP($C30,'Master Data'!$B$433:$N$449,7,FALSE)</f>
        <v>0</v>
      </c>
      <c r="N30" s="167">
        <f>+VLOOKUP($C30,'Master Data'!$B$433:$N$449,8,FALSE)</f>
        <v>8</v>
      </c>
      <c r="O30" s="167"/>
      <c r="P30" s="167">
        <f>+VLOOKUP($C30,'Master Data'!$B$433:$N$449,10,FALSE)</f>
        <v>0</v>
      </c>
      <c r="Q30" s="167">
        <f>+VLOOKUP($C30,'Master Data'!$B$433:$N$449,11,FALSE)</f>
        <v>0</v>
      </c>
      <c r="R30" s="167"/>
      <c r="S30" s="167">
        <f>+VLOOKUP($C30,'Master Data'!$B$433:$N$449,13,FALSE)</f>
        <v>3</v>
      </c>
      <c r="T30" s="167">
        <f t="shared" si="22"/>
        <v>0</v>
      </c>
      <c r="U30" s="167">
        <f t="shared" si="26"/>
        <v>0</v>
      </c>
      <c r="V30" s="167">
        <f t="shared" si="23"/>
        <v>0</v>
      </c>
      <c r="W30" s="169">
        <f t="shared" si="24"/>
        <v>0</v>
      </c>
      <c r="AA30" s="91" t="s">
        <v>243</v>
      </c>
      <c r="AB30" s="275">
        <f>'Master Data'!V177</f>
        <v>73</v>
      </c>
      <c r="AE30" s="80" t="s">
        <v>414</v>
      </c>
      <c r="AF30" s="272">
        <v>2500</v>
      </c>
      <c r="AG30"/>
      <c r="AI30" s="80" t="s">
        <v>409</v>
      </c>
      <c r="AJ30" s="278">
        <f>AJ29/2</f>
        <v>28.8855</v>
      </c>
    </row>
    <row r="31" spans="1:36" ht="20" customHeight="1">
      <c r="A31" s="161">
        <f t="shared" si="27"/>
        <v>10</v>
      </c>
      <c r="B31" s="88" t="s">
        <v>66</v>
      </c>
      <c r="C31" s="88" t="s">
        <v>78</v>
      </c>
      <c r="D31" s="167">
        <f>+VLOOKUP($B31,'Master Data'!$B$453:$R$543,MATCH('Master Data'!$C31,'Master Data'!$B$453:$R$453,0),FALSE)</f>
        <v>136</v>
      </c>
      <c r="E31" s="326">
        <f t="shared" si="29"/>
        <v>6.8000000000000007</v>
      </c>
      <c r="F31" s="80">
        <f t="shared" si="28"/>
        <v>0</v>
      </c>
      <c r="G31" s="167">
        <f t="shared" si="25"/>
        <v>142.80000000000001</v>
      </c>
      <c r="H31" s="167">
        <f t="shared" si="21"/>
        <v>0</v>
      </c>
      <c r="I31" s="167"/>
      <c r="J31" s="167">
        <f>+VLOOKUP($C31,'Master Data'!$B$433:$N$449,4,FALSE)</f>
        <v>0</v>
      </c>
      <c r="K31" s="167">
        <f>+VLOOKUP($C31,'Master Data'!$B$433:$N$449,5,FALSE)</f>
        <v>0</v>
      </c>
      <c r="L31" s="167"/>
      <c r="M31" s="167">
        <f>+VLOOKUP($C31,'Master Data'!$B$433:$N$449,7,FALSE)</f>
        <v>0</v>
      </c>
      <c r="N31" s="167">
        <f>+VLOOKUP($C31,'Master Data'!$B$433:$N$449,8,FALSE)</f>
        <v>0</v>
      </c>
      <c r="O31" s="167"/>
      <c r="P31" s="167">
        <f>+VLOOKUP($C31,'Master Data'!$B$433:$N$449,10,FALSE)</f>
        <v>0</v>
      </c>
      <c r="Q31" s="167">
        <f>+VLOOKUP($C31,'Master Data'!$B$433:$N$449,11,FALSE)</f>
        <v>4</v>
      </c>
      <c r="R31" s="167"/>
      <c r="S31" s="167">
        <f>+VLOOKUP($C31,'Master Data'!$B$433:$N$449,13,FALSE)</f>
        <v>4</v>
      </c>
      <c r="T31" s="167">
        <f t="shared" si="22"/>
        <v>140</v>
      </c>
      <c r="U31" s="167">
        <f t="shared" si="26"/>
        <v>146.80000000000001</v>
      </c>
      <c r="V31" s="167">
        <f t="shared" si="23"/>
        <v>0.14000000000000001</v>
      </c>
      <c r="W31" s="169">
        <f t="shared" si="24"/>
        <v>0.14680000000000001</v>
      </c>
      <c r="AA31" s="91" t="s">
        <v>254</v>
      </c>
      <c r="AB31" s="275">
        <f>'Master Data'!V187</f>
        <v>84</v>
      </c>
      <c r="AE31" s="80" t="s">
        <v>415</v>
      </c>
      <c r="AF31" s="272">
        <v>5000</v>
      </c>
      <c r="AG31"/>
      <c r="AI31" s="80" t="s">
        <v>450</v>
      </c>
      <c r="AJ31" s="277">
        <f>AJ30*(2/3)</f>
        <v>19.256999999999998</v>
      </c>
    </row>
    <row r="32" spans="1:36" ht="20" customHeight="1">
      <c r="A32" s="161">
        <f t="shared" si="27"/>
        <v>11</v>
      </c>
      <c r="B32" s="88" t="s">
        <v>0</v>
      </c>
      <c r="C32" s="88" t="s">
        <v>364</v>
      </c>
      <c r="D32" s="167">
        <f>+VLOOKUP($B32,'Master Data'!$B$453:$R$543,MATCH('Master Data'!$C32,'Master Data'!$B$453:$R$453,0),FALSE)</f>
        <v>840</v>
      </c>
      <c r="E32" s="326">
        <f t="shared" si="29"/>
        <v>42</v>
      </c>
      <c r="F32" s="80">
        <f t="shared" si="28"/>
        <v>0</v>
      </c>
      <c r="G32" s="167">
        <f t="shared" si="25"/>
        <v>882</v>
      </c>
      <c r="H32" s="167">
        <f t="shared" si="21"/>
        <v>0</v>
      </c>
      <c r="I32" s="167"/>
      <c r="J32" s="167">
        <f>+VLOOKUP($C32,'Master Data'!$B$433:$N$449,4,FALSE)</f>
        <v>0</v>
      </c>
      <c r="K32" s="167">
        <f>+VLOOKUP($C32,'Master Data'!$B$433:$N$449,5,FALSE)</f>
        <v>0</v>
      </c>
      <c r="L32" s="167"/>
      <c r="M32" s="167">
        <f>+VLOOKUP($C32,'Master Data'!$B$433:$N$449,7,FALSE)</f>
        <v>0</v>
      </c>
      <c r="N32" s="167">
        <f>+VLOOKUP($C32,'Master Data'!$B$433:$N$449,8,FALSE)</f>
        <v>33</v>
      </c>
      <c r="O32" s="167"/>
      <c r="P32" s="167">
        <f>+VLOOKUP($C32,'Master Data'!$B$433:$N$449,10,FALSE)</f>
        <v>0</v>
      </c>
      <c r="Q32" s="167">
        <f>+VLOOKUP($C32,'Master Data'!$B$433:$N$449,11,FALSE)</f>
        <v>8</v>
      </c>
      <c r="R32" s="167"/>
      <c r="S32" s="167">
        <f>+VLOOKUP($C32,'Master Data'!$B$433:$N$449,13,FALSE)</f>
        <v>0</v>
      </c>
      <c r="T32" s="167">
        <f t="shared" si="22"/>
        <v>881</v>
      </c>
      <c r="U32" s="167">
        <f t="shared" si="26"/>
        <v>882</v>
      </c>
      <c r="V32" s="167">
        <f t="shared" si="23"/>
        <v>0.88100000000000001</v>
      </c>
      <c r="W32" s="169">
        <f t="shared" si="24"/>
        <v>0.88200000000000001</v>
      </c>
      <c r="AA32" s="91" t="s">
        <v>423</v>
      </c>
      <c r="AB32" s="275">
        <f>(0.8*AB28)+(0.1*AB29)+(0.05*AB30)+(0.05*AB31)</f>
        <v>56.550000000000004</v>
      </c>
      <c r="AE32" s="80" t="s">
        <v>110</v>
      </c>
      <c r="AF32" s="272">
        <f>(AF29*AF28)+AF30+AF31</f>
        <v>14500</v>
      </c>
      <c r="AG32"/>
      <c r="AI32" s="80" t="s">
        <v>408</v>
      </c>
      <c r="AJ32" s="278">
        <f>AJ30/2</f>
        <v>14.44275</v>
      </c>
    </row>
    <row r="33" spans="1:36" ht="20" customHeight="1">
      <c r="A33" s="161">
        <f t="shared" si="27"/>
        <v>12</v>
      </c>
      <c r="B33" s="88" t="s">
        <v>81</v>
      </c>
      <c r="C33" s="88" t="s">
        <v>78</v>
      </c>
      <c r="D33" s="167">
        <f>+VLOOKUP($B33,'Master Data'!$B$453:$R$543,MATCH('Master Data'!$C33,'Master Data'!$B$453:$R$453,0),FALSE)</f>
        <v>36</v>
      </c>
      <c r="E33" s="326">
        <f t="shared" si="29"/>
        <v>1.8</v>
      </c>
      <c r="F33" s="80">
        <f t="shared" si="28"/>
        <v>0</v>
      </c>
      <c r="G33" s="167">
        <f t="shared" si="25"/>
        <v>37.799999999999997</v>
      </c>
      <c r="H33" s="167">
        <f t="shared" si="21"/>
        <v>0</v>
      </c>
      <c r="I33" s="167"/>
      <c r="J33" s="167">
        <f>+VLOOKUP($C33,'Master Data'!$B$433:$N$449,4,FALSE)</f>
        <v>0</v>
      </c>
      <c r="K33" s="167">
        <f>+VLOOKUP($C33,'Master Data'!$B$433:$N$449,5,FALSE)</f>
        <v>0</v>
      </c>
      <c r="L33" s="167"/>
      <c r="M33" s="167">
        <f>+VLOOKUP($C33,'Master Data'!$B$433:$N$449,7,FALSE)</f>
        <v>0</v>
      </c>
      <c r="N33" s="167">
        <f>+VLOOKUP($C33,'Master Data'!$B$433:$N$449,8,FALSE)</f>
        <v>0</v>
      </c>
      <c r="O33" s="167"/>
      <c r="P33" s="167">
        <f>+VLOOKUP($C33,'Master Data'!$B$433:$N$449,10,FALSE)</f>
        <v>0</v>
      </c>
      <c r="Q33" s="167">
        <f>+VLOOKUP($C33,'Master Data'!$B$433:$N$449,11,FALSE)</f>
        <v>4</v>
      </c>
      <c r="R33" s="167"/>
      <c r="S33" s="167">
        <f>+VLOOKUP($C33,'Master Data'!$B$433:$N$449,13,FALSE)</f>
        <v>4</v>
      </c>
      <c r="T33" s="167">
        <f t="shared" si="22"/>
        <v>40</v>
      </c>
      <c r="U33" s="167">
        <f t="shared" si="26"/>
        <v>41.8</v>
      </c>
      <c r="V33" s="167">
        <f t="shared" si="23"/>
        <v>0.04</v>
      </c>
      <c r="W33" s="169">
        <f t="shared" si="24"/>
        <v>4.1799999999999997E-2</v>
      </c>
      <c r="AA33" s="91" t="s">
        <v>424</v>
      </c>
      <c r="AB33" s="276">
        <f>AB32/2</f>
        <v>28.275000000000002</v>
      </c>
      <c r="AE33" s="80" t="s">
        <v>417</v>
      </c>
      <c r="AF33" s="274">
        <f>AF32/30</f>
        <v>483.33333333333331</v>
      </c>
      <c r="AG33"/>
      <c r="AI33" s="80" t="s">
        <v>407</v>
      </c>
      <c r="AJ33" s="278">
        <f>AJ30/3</f>
        <v>9.6285000000000007</v>
      </c>
    </row>
    <row r="34" spans="1:36" ht="20" customHeight="1">
      <c r="A34" s="161">
        <f t="shared" si="27"/>
        <v>13</v>
      </c>
      <c r="B34" s="88" t="s">
        <v>70</v>
      </c>
      <c r="C34" s="88" t="s">
        <v>78</v>
      </c>
      <c r="D34" s="167">
        <f>+VLOOKUP($B34,'Master Data'!$B$453:$R$543,MATCH('Master Data'!$C34,'Master Data'!$B$453:$R$453,0),FALSE)</f>
        <v>361</v>
      </c>
      <c r="E34" s="326">
        <f t="shared" si="29"/>
        <v>18.05</v>
      </c>
      <c r="F34" s="80">
        <f t="shared" si="28"/>
        <v>0</v>
      </c>
      <c r="G34" s="167">
        <f t="shared" si="25"/>
        <v>379.05</v>
      </c>
      <c r="H34" s="167">
        <f t="shared" si="21"/>
        <v>0</v>
      </c>
      <c r="I34" s="167"/>
      <c r="J34" s="167">
        <f>+VLOOKUP($C34,'Master Data'!$B$433:$N$449,4,FALSE)</f>
        <v>0</v>
      </c>
      <c r="K34" s="167">
        <f>+VLOOKUP($C34,'Master Data'!$B$433:$N$449,5,FALSE)</f>
        <v>0</v>
      </c>
      <c r="L34" s="167"/>
      <c r="M34" s="167">
        <f>+VLOOKUP($C34,'Master Data'!$B$433:$N$449,7,FALSE)</f>
        <v>0</v>
      </c>
      <c r="N34" s="167">
        <f>+VLOOKUP($C34,'Master Data'!$B$433:$N$449,8,FALSE)</f>
        <v>0</v>
      </c>
      <c r="O34" s="167"/>
      <c r="P34" s="167">
        <f>+VLOOKUP($C34,'Master Data'!$B$433:$N$449,10,FALSE)</f>
        <v>0</v>
      </c>
      <c r="Q34" s="167">
        <f>+VLOOKUP($C34,'Master Data'!$B$433:$N$449,11,FALSE)</f>
        <v>4</v>
      </c>
      <c r="R34" s="167"/>
      <c r="S34" s="167">
        <f>+VLOOKUP($C34,'Master Data'!$B$433:$N$449,13,FALSE)</f>
        <v>4</v>
      </c>
      <c r="T34" s="167">
        <f t="shared" si="22"/>
        <v>365</v>
      </c>
      <c r="U34" s="167">
        <f t="shared" si="26"/>
        <v>383.05</v>
      </c>
      <c r="V34" s="167">
        <f t="shared" si="23"/>
        <v>0.36499999999999999</v>
      </c>
      <c r="W34" s="169">
        <f t="shared" si="24"/>
        <v>0.38305</v>
      </c>
      <c r="AA34" s="91" t="s">
        <v>428</v>
      </c>
      <c r="AB34" s="275">
        <f>AB33*(2/3)</f>
        <v>18.850000000000001</v>
      </c>
      <c r="AE34" s="80" t="s">
        <v>418</v>
      </c>
      <c r="AF34" s="80">
        <v>1000</v>
      </c>
      <c r="AG34">
        <v>1304</v>
      </c>
      <c r="AI34" s="80" t="s">
        <v>406</v>
      </c>
      <c r="AJ34" s="278">
        <f>AJ30/4</f>
        <v>7.2213750000000001</v>
      </c>
    </row>
    <row r="35" spans="1:36" ht="20" customHeight="1">
      <c r="A35" s="161">
        <f t="shared" si="27"/>
        <v>14</v>
      </c>
      <c r="B35" s="89" t="s">
        <v>122</v>
      </c>
      <c r="C35" s="88" t="s">
        <v>78</v>
      </c>
      <c r="D35" s="167">
        <f>+VLOOKUP($B35,'Master Data'!$B$453:$R$543,MATCH('Master Data'!$C35,'Master Data'!$B$453:$R$453,0),FALSE)</f>
        <v>64.761904761904759</v>
      </c>
      <c r="E35" s="326">
        <f t="shared" si="29"/>
        <v>3.2380952380952381</v>
      </c>
      <c r="F35" s="80">
        <f t="shared" si="28"/>
        <v>0</v>
      </c>
      <c r="G35" s="167">
        <f t="shared" si="25"/>
        <v>68</v>
      </c>
      <c r="H35" s="167">
        <f t="shared" si="21"/>
        <v>0</v>
      </c>
      <c r="I35" s="167"/>
      <c r="J35" s="167">
        <f>+VLOOKUP($C35,'Master Data'!$B$433:$N$449,4,FALSE)</f>
        <v>0</v>
      </c>
      <c r="K35" s="167">
        <f>+VLOOKUP($C35,'Master Data'!$B$433:$N$449,5,FALSE)</f>
        <v>0</v>
      </c>
      <c r="L35" s="167"/>
      <c r="M35" s="167">
        <f>+VLOOKUP($C35,'Master Data'!$B$433:$N$449,7,FALSE)</f>
        <v>0</v>
      </c>
      <c r="N35" s="167">
        <f>+VLOOKUP($C35,'Master Data'!$B$433:$N$449,8,FALSE)</f>
        <v>0</v>
      </c>
      <c r="O35" s="167"/>
      <c r="P35" s="167">
        <f>+VLOOKUP($C35,'Master Data'!$B$433:$N$449,10,FALSE)</f>
        <v>0</v>
      </c>
      <c r="Q35" s="167">
        <f>+VLOOKUP($C35,'Master Data'!$B$433:$N$449,11,FALSE)</f>
        <v>4</v>
      </c>
      <c r="R35" s="167"/>
      <c r="S35" s="167">
        <f>+VLOOKUP($C35,'Master Data'!$B$433:$N$449,13,FALSE)</f>
        <v>4</v>
      </c>
      <c r="T35" s="167">
        <f t="shared" si="22"/>
        <v>68.761904761904759</v>
      </c>
      <c r="U35" s="167">
        <f t="shared" si="26"/>
        <v>72</v>
      </c>
      <c r="V35" s="167">
        <f t="shared" si="23"/>
        <v>6.876190476190476E-2</v>
      </c>
      <c r="W35" s="169">
        <f t="shared" si="24"/>
        <v>7.1999999999999995E-2</v>
      </c>
      <c r="AA35" s="91" t="s">
        <v>425</v>
      </c>
      <c r="AB35" s="276">
        <f>AB33/2</f>
        <v>14.137500000000001</v>
      </c>
      <c r="AE35" s="80" t="s">
        <v>419</v>
      </c>
      <c r="AF35" s="274">
        <f>AF33/AF34</f>
        <v>0.48333333333333334</v>
      </c>
      <c r="AG35"/>
      <c r="AI35" s="80" t="s">
        <v>411</v>
      </c>
      <c r="AJ35" s="277">
        <f>AJ34</f>
        <v>7.2213750000000001</v>
      </c>
    </row>
    <row r="36" spans="1:36" ht="20" customHeight="1">
      <c r="A36" s="161">
        <f t="shared" si="27"/>
        <v>15</v>
      </c>
      <c r="B36" s="88" t="s">
        <v>288</v>
      </c>
      <c r="C36" s="88" t="s">
        <v>78</v>
      </c>
      <c r="D36" s="167">
        <f>+VLOOKUP($B36,'Master Data'!$B$453:$R$543,MATCH('Master Data'!$C36,'Master Data'!$B$453:$R$453,0),FALSE)</f>
        <v>1104.7619047619048</v>
      </c>
      <c r="E36" s="326">
        <f t="shared" si="29"/>
        <v>55.238095238095241</v>
      </c>
      <c r="F36" s="80">
        <f t="shared" si="28"/>
        <v>0</v>
      </c>
      <c r="G36" s="167">
        <f t="shared" si="25"/>
        <v>1160</v>
      </c>
      <c r="H36" s="167">
        <f t="shared" si="21"/>
        <v>0</v>
      </c>
      <c r="I36" s="167"/>
      <c r="J36" s="167">
        <f>+VLOOKUP($C36,'Master Data'!$B$433:$N$449,4,FALSE)</f>
        <v>0</v>
      </c>
      <c r="K36" s="167">
        <f>+VLOOKUP($C36,'Master Data'!$B$433:$N$449,5,FALSE)</f>
        <v>0</v>
      </c>
      <c r="L36" s="167"/>
      <c r="M36" s="167">
        <f>+VLOOKUP($C36,'Master Data'!$B$433:$N$449,7,FALSE)</f>
        <v>0</v>
      </c>
      <c r="N36" s="167">
        <f>+VLOOKUP($C36,'Master Data'!$B$433:$N$449,8,FALSE)</f>
        <v>0</v>
      </c>
      <c r="O36" s="167"/>
      <c r="P36" s="167">
        <f>+VLOOKUP($C36,'Master Data'!$B$433:$N$449,10,FALSE)</f>
        <v>0</v>
      </c>
      <c r="Q36" s="167">
        <f>+VLOOKUP($C36,'Master Data'!$B$433:$N$449,11,FALSE)</f>
        <v>4</v>
      </c>
      <c r="R36" s="167"/>
      <c r="S36" s="167">
        <f>+VLOOKUP($C36,'Master Data'!$B$433:$N$449,13,FALSE)</f>
        <v>4</v>
      </c>
      <c r="T36" s="167">
        <f t="shared" si="22"/>
        <v>1108.7619047619048</v>
      </c>
      <c r="U36" s="167">
        <f t="shared" si="26"/>
        <v>1164</v>
      </c>
      <c r="V36" s="167">
        <f t="shared" si="23"/>
        <v>1.1087619047619048</v>
      </c>
      <c r="W36" s="169">
        <f t="shared" si="24"/>
        <v>1.1639999999999999</v>
      </c>
      <c r="AA36" s="91" t="s">
        <v>426</v>
      </c>
      <c r="AB36" s="276">
        <f>AB33/3</f>
        <v>9.4250000000000007</v>
      </c>
      <c r="AE36" s="80" t="s">
        <v>420</v>
      </c>
      <c r="AF36" s="80">
        <f>ROUND((15+30)/2,0)</f>
        <v>23</v>
      </c>
      <c r="AG36"/>
    </row>
    <row r="37" spans="1:36" ht="20" customHeight="1">
      <c r="A37" s="161">
        <f t="shared" si="27"/>
        <v>16</v>
      </c>
      <c r="B37" s="88" t="s">
        <v>82</v>
      </c>
      <c r="C37" s="88" t="s">
        <v>78</v>
      </c>
      <c r="D37" s="167">
        <f>+VLOOKUP($B37,'Master Data'!$B$453:$R$543,MATCH('Master Data'!$C37,'Master Data'!$B$453:$R$453,0),FALSE)</f>
        <v>248</v>
      </c>
      <c r="E37" s="326">
        <f t="shared" si="29"/>
        <v>12.4</v>
      </c>
      <c r="F37" s="80">
        <f t="shared" si="28"/>
        <v>0</v>
      </c>
      <c r="G37" s="167">
        <f t="shared" si="25"/>
        <v>260.39999999999998</v>
      </c>
      <c r="H37" s="167">
        <f t="shared" si="21"/>
        <v>0</v>
      </c>
      <c r="I37" s="167"/>
      <c r="J37" s="167">
        <f>+VLOOKUP($C37,'Master Data'!$B$433:$N$449,4,FALSE)</f>
        <v>0</v>
      </c>
      <c r="K37" s="167">
        <f>+VLOOKUP($C37,'Master Data'!$B$433:$N$449,5,FALSE)</f>
        <v>0</v>
      </c>
      <c r="L37" s="167"/>
      <c r="M37" s="167">
        <f>+VLOOKUP($C37,'Master Data'!$B$433:$N$449,7,FALSE)</f>
        <v>0</v>
      </c>
      <c r="N37" s="167">
        <f>+VLOOKUP($C37,'Master Data'!$B$433:$N$449,8,FALSE)</f>
        <v>0</v>
      </c>
      <c r="O37" s="167"/>
      <c r="P37" s="167">
        <f>+VLOOKUP($C37,'Master Data'!$B$433:$N$449,10,FALSE)</f>
        <v>0</v>
      </c>
      <c r="Q37" s="167">
        <f>+VLOOKUP($C37,'Master Data'!$B$433:$N$449,11,FALSE)</f>
        <v>4</v>
      </c>
      <c r="R37" s="167"/>
      <c r="S37" s="167">
        <f>+VLOOKUP($C37,'Master Data'!$B$433:$N$449,13,FALSE)</f>
        <v>4</v>
      </c>
      <c r="T37" s="167">
        <f t="shared" si="22"/>
        <v>252</v>
      </c>
      <c r="U37" s="167">
        <f t="shared" si="26"/>
        <v>264.39999999999998</v>
      </c>
      <c r="V37" s="167">
        <f t="shared" si="23"/>
        <v>0.252</v>
      </c>
      <c r="W37" s="169">
        <f t="shared" si="24"/>
        <v>0.26439999999999997</v>
      </c>
      <c r="AA37" s="91" t="s">
        <v>427</v>
      </c>
      <c r="AB37" s="276">
        <f>AB33/4</f>
        <v>7.0687500000000005</v>
      </c>
      <c r="AE37" s="80" t="s">
        <v>421</v>
      </c>
      <c r="AF37" s="274">
        <f>AF35*AF36</f>
        <v>11.116666666666667</v>
      </c>
      <c r="AG37"/>
    </row>
    <row r="38" spans="1:36" ht="20" customHeight="1">
      <c r="A38" s="161">
        <f t="shared" si="27"/>
        <v>17</v>
      </c>
      <c r="B38" s="237" t="s">
        <v>543</v>
      </c>
      <c r="C38" s="88" t="s">
        <v>366</v>
      </c>
      <c r="D38" s="167">
        <f>+VLOOKUP($B38,'Master Data'!$B$453:$R$543,MATCH('Master Data'!$C38,'Master Data'!$B$453:$R$453,0),FALSE)</f>
        <v>280</v>
      </c>
      <c r="E38" s="326">
        <f t="shared" si="29"/>
        <v>14</v>
      </c>
      <c r="F38" s="80">
        <f t="shared" si="28"/>
        <v>2.2400000000000002</v>
      </c>
      <c r="G38" s="167">
        <f t="shared" si="25"/>
        <v>296.24</v>
      </c>
      <c r="H38" s="167">
        <f t="shared" si="21"/>
        <v>0.6</v>
      </c>
      <c r="I38" s="167"/>
      <c r="J38" s="167">
        <f>+VLOOKUP($C38,'Master Data'!$B$433:$N$449,4,FALSE)</f>
        <v>0.6</v>
      </c>
      <c r="K38" s="167">
        <f>+VLOOKUP($C38,'Master Data'!$B$433:$N$449,5,FALSE)</f>
        <v>0</v>
      </c>
      <c r="L38" s="167"/>
      <c r="M38" s="167">
        <f>+VLOOKUP($C38,'Master Data'!$B$433:$N$449,7,FALSE)</f>
        <v>0</v>
      </c>
      <c r="N38" s="167">
        <f>+VLOOKUP($C38,'Master Data'!$B$433:$N$449,8,FALSE)</f>
        <v>8</v>
      </c>
      <c r="O38" s="167"/>
      <c r="P38" s="167">
        <f>+VLOOKUP($C38,'Master Data'!$B$433:$N$449,10,FALSE)</f>
        <v>0</v>
      </c>
      <c r="Q38" s="167">
        <f>+VLOOKUP($C38,'Master Data'!$B$433:$N$449,11,FALSE)</f>
        <v>0</v>
      </c>
      <c r="R38" s="167"/>
      <c r="S38" s="167">
        <f>+VLOOKUP($C38,'Master Data'!$B$433:$N$449,13,FALSE)</f>
        <v>3</v>
      </c>
      <c r="T38" s="167">
        <f t="shared" si="22"/>
        <v>288.60000000000002</v>
      </c>
      <c r="U38" s="167">
        <f t="shared" si="26"/>
        <v>299.84000000000003</v>
      </c>
      <c r="V38" s="167">
        <f t="shared" si="23"/>
        <v>0.28860000000000002</v>
      </c>
      <c r="W38" s="169">
        <f t="shared" si="24"/>
        <v>0.29984000000000005</v>
      </c>
      <c r="AA38" s="91" t="s">
        <v>429</v>
      </c>
      <c r="AB38" s="275">
        <f>AB37</f>
        <v>7.0687500000000005</v>
      </c>
      <c r="AE38" s="80" t="s">
        <v>61</v>
      </c>
      <c r="AF38" s="274">
        <f>0.1*AF37</f>
        <v>1.1116666666666668</v>
      </c>
      <c r="AG38"/>
    </row>
    <row r="39" spans="1:36" ht="20" customHeight="1">
      <c r="A39" s="161">
        <f t="shared" si="27"/>
        <v>18</v>
      </c>
      <c r="B39" s="237" t="s">
        <v>308</v>
      </c>
      <c r="C39" s="88" t="s">
        <v>366</v>
      </c>
      <c r="D39" s="167">
        <f>+VLOOKUP($B39,'Master Data'!$B$453:$R$543,MATCH('Master Data'!$C39,'Master Data'!$B$453:$R$453,0),FALSE)</f>
        <v>421</v>
      </c>
      <c r="E39" s="326">
        <f t="shared" si="29"/>
        <v>21.05</v>
      </c>
      <c r="F39" s="80">
        <f t="shared" si="28"/>
        <v>3.3679999999999999</v>
      </c>
      <c r="G39" s="167">
        <f t="shared" si="25"/>
        <v>445.41800000000001</v>
      </c>
      <c r="H39" s="167">
        <f t="shared" si="21"/>
        <v>0.6</v>
      </c>
      <c r="I39" s="167"/>
      <c r="J39" s="167">
        <f>+VLOOKUP($C39,'Master Data'!$B$433:$N$449,4,FALSE)</f>
        <v>0.6</v>
      </c>
      <c r="K39" s="167">
        <f>+VLOOKUP($C39,'Master Data'!$B$433:$N$449,5,FALSE)</f>
        <v>0</v>
      </c>
      <c r="L39" s="167"/>
      <c r="M39" s="167">
        <f>+VLOOKUP($C39,'Master Data'!$B$433:$N$449,7,FALSE)</f>
        <v>0</v>
      </c>
      <c r="N39" s="167">
        <f>+VLOOKUP($C39,'Master Data'!$B$433:$N$449,8,FALSE)</f>
        <v>8</v>
      </c>
      <c r="O39" s="167"/>
      <c r="P39" s="167">
        <f>+VLOOKUP($C39,'Master Data'!$B$433:$N$449,10,FALSE)</f>
        <v>0</v>
      </c>
      <c r="Q39" s="167">
        <f>+VLOOKUP($C39,'Master Data'!$B$433:$N$449,11,FALSE)</f>
        <v>0</v>
      </c>
      <c r="R39" s="167"/>
      <c r="S39" s="167">
        <f>+VLOOKUP($C39,'Master Data'!$B$433:$N$449,13,FALSE)</f>
        <v>3</v>
      </c>
      <c r="T39" s="167">
        <f t="shared" si="22"/>
        <v>429.6</v>
      </c>
      <c r="U39" s="167">
        <f t="shared" si="26"/>
        <v>449.01800000000003</v>
      </c>
      <c r="V39" s="167">
        <f t="shared" si="23"/>
        <v>0.42960000000000004</v>
      </c>
      <c r="W39" s="169">
        <f t="shared" si="24"/>
        <v>0.44901800000000003</v>
      </c>
      <c r="AE39" s="80" t="s">
        <v>422</v>
      </c>
      <c r="AF39" s="274">
        <f>0.5*AF37</f>
        <v>5.5583333333333336</v>
      </c>
      <c r="AG39"/>
    </row>
    <row r="40" spans="1:36" ht="20" customHeight="1">
      <c r="A40" s="161">
        <f t="shared" si="27"/>
        <v>19</v>
      </c>
      <c r="B40" s="237" t="s">
        <v>34</v>
      </c>
      <c r="C40" s="88" t="s">
        <v>404</v>
      </c>
      <c r="D40" s="167">
        <f>+VLOOKUP($B40,'Master Data'!$B$453:$R$543,MATCH('Master Data'!$C40,'Master Data'!$B$453:$R$453,0),FALSE)</f>
        <v>330</v>
      </c>
      <c r="E40" s="326">
        <f t="shared" si="29"/>
        <v>16.5</v>
      </c>
      <c r="F40" s="80">
        <f t="shared" si="28"/>
        <v>0</v>
      </c>
      <c r="G40" s="167">
        <f t="shared" si="25"/>
        <v>346.5</v>
      </c>
      <c r="H40" s="167">
        <f t="shared" si="21"/>
        <v>0</v>
      </c>
      <c r="I40" s="167"/>
      <c r="J40" s="167">
        <f>+VLOOKUP($C40,'Master Data'!$B$433:$N$449,4,FALSE)</f>
        <v>0</v>
      </c>
      <c r="K40" s="167">
        <f>+VLOOKUP($C40,'Master Data'!$B$433:$N$449,5,FALSE)</f>
        <v>0</v>
      </c>
      <c r="L40" s="167"/>
      <c r="M40" s="167">
        <f>+VLOOKUP($C40,'Master Data'!$B$433:$N$449,7,FALSE)</f>
        <v>0</v>
      </c>
      <c r="N40" s="167">
        <f>+VLOOKUP($C40,'Master Data'!$B$433:$N$449,8,FALSE)</f>
        <v>0</v>
      </c>
      <c r="O40" s="167"/>
      <c r="P40" s="167">
        <f>+VLOOKUP($C40,'Master Data'!$B$433:$N$449,10,FALSE)</f>
        <v>0</v>
      </c>
      <c r="Q40" s="167">
        <f>+VLOOKUP($C40,'Master Data'!$B$433:$N$449,11,FALSE)</f>
        <v>4</v>
      </c>
      <c r="R40" s="167"/>
      <c r="S40" s="167">
        <f>+VLOOKUP($C40,'Master Data'!$B$433:$N$449,13,FALSE)</f>
        <v>4</v>
      </c>
      <c r="T40" s="167">
        <f t="shared" si="22"/>
        <v>334</v>
      </c>
      <c r="U40" s="167">
        <f t="shared" si="26"/>
        <v>350.5</v>
      </c>
      <c r="V40" s="167">
        <f t="shared" si="23"/>
        <v>0.33400000000000002</v>
      </c>
      <c r="W40" s="169">
        <f t="shared" si="24"/>
        <v>0.35049999999999998</v>
      </c>
      <c r="AE40" s="80" t="s">
        <v>33</v>
      </c>
      <c r="AF40" s="274">
        <f>1*AF37</f>
        <v>11.116666666666667</v>
      </c>
      <c r="AG40"/>
    </row>
    <row r="41" spans="1:36" ht="20" customHeight="1">
      <c r="A41" s="161">
        <f t="shared" si="27"/>
        <v>20</v>
      </c>
      <c r="B41" s="88" t="s">
        <v>1</v>
      </c>
      <c r="C41" s="88" t="s">
        <v>364</v>
      </c>
      <c r="D41" s="167">
        <f>+VLOOKUP($B41,'Master Data'!$B$453:$R$543,MATCH('Master Data'!$C41,'Master Data'!$B$453:$R$453,0),FALSE)</f>
        <v>1150</v>
      </c>
      <c r="E41" s="326">
        <f t="shared" si="29"/>
        <v>57.5</v>
      </c>
      <c r="F41" s="80">
        <f t="shared" si="28"/>
        <v>0</v>
      </c>
      <c r="G41" s="167">
        <f t="shared" si="25"/>
        <v>1207.5</v>
      </c>
      <c r="H41" s="167">
        <f t="shared" si="21"/>
        <v>0</v>
      </c>
      <c r="I41" s="167"/>
      <c r="J41" s="167">
        <f>+VLOOKUP($C41,'Master Data'!$B$433:$N$449,4,FALSE)</f>
        <v>0</v>
      </c>
      <c r="K41" s="167">
        <f>+VLOOKUP($C41,'Master Data'!$B$433:$N$449,5,FALSE)</f>
        <v>0</v>
      </c>
      <c r="L41" s="167"/>
      <c r="M41" s="167">
        <f>+VLOOKUP($C41,'Master Data'!$B$433:$N$449,7,FALSE)</f>
        <v>0</v>
      </c>
      <c r="N41" s="167">
        <f>+VLOOKUP($C41,'Master Data'!$B$433:$N$449,8,FALSE)</f>
        <v>33</v>
      </c>
      <c r="O41" s="167"/>
      <c r="P41" s="167">
        <f>+VLOOKUP($C41,'Master Data'!$B$433:$N$449,10,FALSE)</f>
        <v>0</v>
      </c>
      <c r="Q41" s="167">
        <f>+VLOOKUP($C41,'Master Data'!$B$433:$N$449,11,FALSE)</f>
        <v>8</v>
      </c>
      <c r="R41" s="167"/>
      <c r="S41" s="167">
        <f>+VLOOKUP($C41,'Master Data'!$B$433:$N$449,13,FALSE)</f>
        <v>0</v>
      </c>
      <c r="T41" s="167">
        <f t="shared" si="22"/>
        <v>1191</v>
      </c>
      <c r="U41" s="167">
        <f t="shared" si="26"/>
        <v>1207.5</v>
      </c>
      <c r="V41" s="167">
        <f t="shared" si="23"/>
        <v>1.1910000000000001</v>
      </c>
      <c r="W41" s="169">
        <f t="shared" si="24"/>
        <v>1.2075</v>
      </c>
    </row>
    <row r="42" spans="1:36" ht="20" customHeight="1">
      <c r="A42" s="161">
        <f t="shared" si="27"/>
        <v>21</v>
      </c>
      <c r="B42" s="182" t="s">
        <v>2</v>
      </c>
      <c r="C42" s="88" t="s">
        <v>78</v>
      </c>
      <c r="D42" s="167">
        <f>+VLOOKUP($B42,'Master Data'!$B$453:$R$543,MATCH('Master Data'!$C42,'Master Data'!$B$453:$R$453,0),FALSE)</f>
        <v>188</v>
      </c>
      <c r="E42" s="168">
        <v>0</v>
      </c>
      <c r="F42" s="80">
        <f t="shared" si="28"/>
        <v>0</v>
      </c>
      <c r="G42" s="167">
        <f t="shared" si="25"/>
        <v>188</v>
      </c>
      <c r="H42" s="167">
        <f t="shared" si="21"/>
        <v>0</v>
      </c>
      <c r="I42" s="167"/>
      <c r="J42" s="167">
        <f>+VLOOKUP($C42,'Master Data'!$B$433:$N$449,4,FALSE)</f>
        <v>0</v>
      </c>
      <c r="K42" s="167">
        <f>+VLOOKUP($C42,'Master Data'!$B$433:$N$449,5,FALSE)</f>
        <v>0</v>
      </c>
      <c r="L42" s="167"/>
      <c r="M42" s="167">
        <f>+VLOOKUP($C42,'Master Data'!$B$433:$N$449,7,FALSE)</f>
        <v>0</v>
      </c>
      <c r="N42" s="167">
        <f>+VLOOKUP($C42,'Master Data'!$B$433:$N$449,8,FALSE)</f>
        <v>0</v>
      </c>
      <c r="O42" s="167"/>
      <c r="P42" s="167">
        <f>+VLOOKUP($C42,'Master Data'!$B$433:$N$449,10,FALSE)</f>
        <v>0</v>
      </c>
      <c r="Q42" s="167">
        <f>+VLOOKUP($C42,'Master Data'!$B$433:$N$449,11,FALSE)</f>
        <v>4</v>
      </c>
      <c r="R42" s="167"/>
      <c r="S42" s="167">
        <f>+VLOOKUP($C42,'Master Data'!$B$433:$N$449,13,FALSE)</f>
        <v>4</v>
      </c>
      <c r="T42" s="167">
        <f t="shared" si="22"/>
        <v>192</v>
      </c>
      <c r="U42" s="167">
        <f t="shared" si="26"/>
        <v>192</v>
      </c>
      <c r="V42" s="167">
        <f t="shared" si="23"/>
        <v>0.192</v>
      </c>
      <c r="W42" s="169">
        <f t="shared" si="24"/>
        <v>0.192</v>
      </c>
    </row>
    <row r="43" spans="1:36" ht="20" customHeight="1">
      <c r="A43" s="161">
        <f t="shared" si="27"/>
        <v>22</v>
      </c>
      <c r="B43" s="182" t="s">
        <v>3</v>
      </c>
      <c r="C43" s="88" t="s">
        <v>78</v>
      </c>
      <c r="D43" s="167">
        <f>+VLOOKUP($B43,'Master Data'!$B$453:$R$543,MATCH('Master Data'!$C43,'Master Data'!$B$453:$R$453,0),FALSE)</f>
        <v>300</v>
      </c>
      <c r="E43" s="168">
        <v>0</v>
      </c>
      <c r="F43" s="80">
        <f t="shared" si="28"/>
        <v>0</v>
      </c>
      <c r="G43" s="167">
        <f t="shared" si="25"/>
        <v>300</v>
      </c>
      <c r="H43" s="167">
        <f t="shared" si="21"/>
        <v>0</v>
      </c>
      <c r="I43" s="167"/>
      <c r="J43" s="167">
        <f>+VLOOKUP($C43,'Master Data'!$B$433:$N$449,4,FALSE)</f>
        <v>0</v>
      </c>
      <c r="K43" s="167">
        <f>+VLOOKUP($C43,'Master Data'!$B$433:$N$449,5,FALSE)</f>
        <v>0</v>
      </c>
      <c r="L43" s="167"/>
      <c r="M43" s="167">
        <f>+VLOOKUP($C43,'Master Data'!$B$433:$N$449,7,FALSE)</f>
        <v>0</v>
      </c>
      <c r="N43" s="167">
        <f>+VLOOKUP($C43,'Master Data'!$B$433:$N$449,8,FALSE)</f>
        <v>0</v>
      </c>
      <c r="O43" s="167"/>
      <c r="P43" s="167">
        <f>+VLOOKUP($C43,'Master Data'!$B$433:$N$449,10,FALSE)</f>
        <v>0</v>
      </c>
      <c r="Q43" s="167">
        <f>+VLOOKUP($C43,'Master Data'!$B$433:$N$449,11,FALSE)</f>
        <v>4</v>
      </c>
      <c r="R43" s="167"/>
      <c r="S43" s="167">
        <f>+VLOOKUP($C43,'Master Data'!$B$433:$N$449,13,FALSE)</f>
        <v>4</v>
      </c>
      <c r="T43" s="167">
        <f t="shared" si="22"/>
        <v>304</v>
      </c>
      <c r="U43" s="167">
        <f t="shared" si="26"/>
        <v>304</v>
      </c>
      <c r="V43" s="167">
        <f t="shared" si="23"/>
        <v>0.30399999999999999</v>
      </c>
      <c r="W43" s="169">
        <f t="shared" si="24"/>
        <v>0.30399999999999999</v>
      </c>
    </row>
    <row r="44" spans="1:36" ht="20" customHeight="1">
      <c r="A44" s="161">
        <f t="shared" si="27"/>
        <v>23</v>
      </c>
      <c r="B44" s="88" t="s">
        <v>52</v>
      </c>
      <c r="C44" s="88" t="s">
        <v>78</v>
      </c>
      <c r="D44" s="167">
        <f>+VLOOKUP($B44,'Master Data'!$B$453:$R$543,MATCH('Master Data'!$C44,'Master Data'!$B$453:$R$453,0),FALSE)</f>
        <v>342</v>
      </c>
      <c r="E44" s="326">
        <f>INDEX($AG$434:$AH$448,MATCH($C44,$AG$434:$AG$448,0),2)*D44</f>
        <v>17.100000000000001</v>
      </c>
      <c r="F44" s="80">
        <f t="shared" si="28"/>
        <v>0</v>
      </c>
      <c r="G44" s="167">
        <f t="shared" si="25"/>
        <v>359.1</v>
      </c>
      <c r="H44" s="167">
        <f t="shared" si="21"/>
        <v>0</v>
      </c>
      <c r="I44" s="167"/>
      <c r="J44" s="167">
        <f>+VLOOKUP($C44,'Master Data'!$B$433:$N$449,4,FALSE)</f>
        <v>0</v>
      </c>
      <c r="K44" s="167">
        <f>+VLOOKUP($C44,'Master Data'!$B$433:$N$449,5,FALSE)</f>
        <v>0</v>
      </c>
      <c r="L44" s="167"/>
      <c r="M44" s="167">
        <f>+VLOOKUP($C44,'Master Data'!$B$433:$N$449,7,FALSE)</f>
        <v>0</v>
      </c>
      <c r="N44" s="167">
        <f>+VLOOKUP($C44,'Master Data'!$B$433:$N$449,8,FALSE)</f>
        <v>0</v>
      </c>
      <c r="O44" s="167"/>
      <c r="P44" s="167">
        <f>+VLOOKUP($C44,'Master Data'!$B$433:$N$449,10,FALSE)</f>
        <v>0</v>
      </c>
      <c r="Q44" s="167">
        <f>+VLOOKUP($C44,'Master Data'!$B$433:$N$449,11,FALSE)</f>
        <v>4</v>
      </c>
      <c r="R44" s="167"/>
      <c r="S44" s="167">
        <f>+VLOOKUP($C44,'Master Data'!$B$433:$N$449,13,FALSE)</f>
        <v>4</v>
      </c>
      <c r="T44" s="167">
        <f t="shared" si="22"/>
        <v>346</v>
      </c>
      <c r="U44" s="167">
        <f t="shared" si="26"/>
        <v>363.1</v>
      </c>
      <c r="V44" s="167">
        <f t="shared" si="23"/>
        <v>0.34599999999999997</v>
      </c>
      <c r="W44" s="169">
        <f t="shared" si="24"/>
        <v>0.36310000000000003</v>
      </c>
    </row>
    <row r="45" spans="1:36" ht="20" customHeight="1">
      <c r="A45" s="161">
        <f t="shared" si="27"/>
        <v>24</v>
      </c>
      <c r="B45" s="89" t="s">
        <v>120</v>
      </c>
      <c r="C45" s="88" t="s">
        <v>404</v>
      </c>
      <c r="D45" s="167">
        <f>+VLOOKUP($B45,'Master Data'!$B$453:$R$543,MATCH('Master Data'!$C45,'Master Data'!$B$453:$R$453,0),FALSE)</f>
        <v>220</v>
      </c>
      <c r="E45" s="326">
        <f>INDEX($AG$434:$AH$448,MATCH($C45,$AG$434:$AG$448,0),2)*D45</f>
        <v>11</v>
      </c>
      <c r="F45" s="80">
        <f t="shared" si="28"/>
        <v>0</v>
      </c>
      <c r="G45" s="167">
        <f t="shared" si="25"/>
        <v>231</v>
      </c>
      <c r="H45" s="167">
        <f t="shared" si="21"/>
        <v>0</v>
      </c>
      <c r="I45" s="167"/>
      <c r="J45" s="167">
        <f>+VLOOKUP($C45,'Master Data'!$B$433:$N$449,4,FALSE)</f>
        <v>0</v>
      </c>
      <c r="K45" s="167">
        <f>+VLOOKUP($C45,'Master Data'!$B$433:$N$449,5,FALSE)</f>
        <v>0</v>
      </c>
      <c r="L45" s="167"/>
      <c r="M45" s="167">
        <f>+VLOOKUP($C45,'Master Data'!$B$433:$N$449,7,FALSE)</f>
        <v>0</v>
      </c>
      <c r="N45" s="167">
        <f>+VLOOKUP($C45,'Master Data'!$B$433:$N$449,8,FALSE)</f>
        <v>0</v>
      </c>
      <c r="O45" s="167"/>
      <c r="P45" s="167">
        <f>+VLOOKUP($C45,'Master Data'!$B$433:$N$449,10,FALSE)</f>
        <v>0</v>
      </c>
      <c r="Q45" s="167">
        <f>+VLOOKUP($C45,'Master Data'!$B$433:$N$449,11,FALSE)</f>
        <v>4</v>
      </c>
      <c r="R45" s="167"/>
      <c r="S45" s="167">
        <f>+VLOOKUP($C45,'Master Data'!$B$433:$N$449,13,FALSE)</f>
        <v>4</v>
      </c>
      <c r="T45" s="167">
        <f t="shared" si="22"/>
        <v>224</v>
      </c>
      <c r="U45" s="167">
        <f t="shared" si="26"/>
        <v>235</v>
      </c>
      <c r="V45" s="167">
        <f t="shared" si="23"/>
        <v>0.224</v>
      </c>
      <c r="W45" s="169">
        <f t="shared" si="24"/>
        <v>0.23499999999999999</v>
      </c>
    </row>
    <row r="46" spans="1:36" ht="20" customHeight="1">
      <c r="A46" s="161">
        <f t="shared" si="27"/>
        <v>25</v>
      </c>
      <c r="B46" s="88" t="s">
        <v>39</v>
      </c>
      <c r="C46" s="88" t="s">
        <v>85</v>
      </c>
      <c r="D46" s="167">
        <f>+VLOOKUP($B46,'Master Data'!$B$453:$R$543,MATCH('Master Data'!$C46,'Master Data'!$B$453:$R$453,0),FALSE)</f>
        <v>200</v>
      </c>
      <c r="E46" s="326">
        <f>INDEX($AG$434:$AH$448,MATCH($C46,$AG$434:$AG$448,0),2)*D46</f>
        <v>0</v>
      </c>
      <c r="F46" s="80">
        <f t="shared" si="28"/>
        <v>0</v>
      </c>
      <c r="G46" s="167">
        <f t="shared" si="25"/>
        <v>200</v>
      </c>
      <c r="H46" s="167">
        <f t="shared" si="21"/>
        <v>0</v>
      </c>
      <c r="I46" s="167"/>
      <c r="J46" s="167">
        <f>+VLOOKUP($C46,'Master Data'!$B$433:$N$449,4,FALSE)</f>
        <v>0</v>
      </c>
      <c r="K46" s="167">
        <f>+VLOOKUP($C46,'Master Data'!$B$433:$N$449,5,FALSE)</f>
        <v>0</v>
      </c>
      <c r="L46" s="167"/>
      <c r="M46" s="167">
        <f>+VLOOKUP($C46,'Master Data'!$B$433:$N$449,7,FALSE)</f>
        <v>0</v>
      </c>
      <c r="N46" s="167">
        <f>+VLOOKUP($C46,'Master Data'!$B$433:$N$449,8,FALSE)</f>
        <v>0</v>
      </c>
      <c r="O46" s="167"/>
      <c r="P46" s="167">
        <f>+VLOOKUP($C46,'Master Data'!$B$433:$N$449,10,FALSE)</f>
        <v>0</v>
      </c>
      <c r="Q46" s="167">
        <f>+VLOOKUP($C46,'Master Data'!$B$433:$N$449,11,FALSE)</f>
        <v>40</v>
      </c>
      <c r="R46" s="167"/>
      <c r="S46" s="167">
        <f>+VLOOKUP($C46,'Master Data'!$B$433:$N$449,13,FALSE)</f>
        <v>40</v>
      </c>
      <c r="T46" s="167">
        <f t="shared" si="22"/>
        <v>240</v>
      </c>
      <c r="U46" s="167">
        <f t="shared" si="26"/>
        <v>240</v>
      </c>
      <c r="V46" s="167">
        <f t="shared" si="23"/>
        <v>0.24</v>
      </c>
      <c r="W46" s="169">
        <f t="shared" si="24"/>
        <v>0.24</v>
      </c>
    </row>
    <row r="47" spans="1:36" ht="20" customHeight="1">
      <c r="A47" s="161">
        <f t="shared" si="27"/>
        <v>26</v>
      </c>
      <c r="B47" s="182" t="s">
        <v>86</v>
      </c>
      <c r="C47" s="88" t="s">
        <v>78</v>
      </c>
      <c r="D47" s="167">
        <f>+VLOOKUP($B47,'Master Data'!$B$453:$R$543,MATCH('Master Data'!$C47,'Master Data'!$B$453:$R$453,0),FALSE)</f>
        <v>266</v>
      </c>
      <c r="E47" s="168">
        <v>0</v>
      </c>
      <c r="F47" s="80">
        <f t="shared" si="28"/>
        <v>0</v>
      </c>
      <c r="G47" s="167">
        <f t="shared" si="25"/>
        <v>266</v>
      </c>
      <c r="H47" s="167">
        <f t="shared" si="21"/>
        <v>0</v>
      </c>
      <c r="I47" s="167"/>
      <c r="J47" s="167">
        <f>+VLOOKUP($C47,'Master Data'!$B$433:$N$449,4,FALSE)</f>
        <v>0</v>
      </c>
      <c r="K47" s="167">
        <f>+VLOOKUP($C47,'Master Data'!$B$433:$N$449,5,FALSE)</f>
        <v>0</v>
      </c>
      <c r="L47" s="167"/>
      <c r="M47" s="167">
        <f>+VLOOKUP($C47,'Master Data'!$B$433:$N$449,7,FALSE)</f>
        <v>0</v>
      </c>
      <c r="N47" s="167">
        <f>+VLOOKUP($C47,'Master Data'!$B$433:$N$449,8,FALSE)</f>
        <v>0</v>
      </c>
      <c r="O47" s="167"/>
      <c r="P47" s="167">
        <f>+VLOOKUP($C47,'Master Data'!$B$433:$N$449,10,FALSE)</f>
        <v>0</v>
      </c>
      <c r="Q47" s="167">
        <f>+VLOOKUP($C47,'Master Data'!$B$433:$N$449,11,FALSE)</f>
        <v>4</v>
      </c>
      <c r="R47" s="167"/>
      <c r="S47" s="167">
        <f>+VLOOKUP($C47,'Master Data'!$B$433:$N$449,13,FALSE)</f>
        <v>4</v>
      </c>
      <c r="T47" s="167">
        <f t="shared" si="22"/>
        <v>270</v>
      </c>
      <c r="U47" s="167">
        <f t="shared" si="26"/>
        <v>270</v>
      </c>
      <c r="V47" s="167">
        <f t="shared" si="23"/>
        <v>0.27</v>
      </c>
      <c r="W47" s="169">
        <f t="shared" si="24"/>
        <v>0.27</v>
      </c>
    </row>
    <row r="48" spans="1:36" ht="20" customHeight="1">
      <c r="A48" s="161">
        <f t="shared" si="27"/>
        <v>27</v>
      </c>
      <c r="B48" s="88" t="s">
        <v>46</v>
      </c>
      <c r="C48" s="88" t="s">
        <v>78</v>
      </c>
      <c r="D48" s="167">
        <f>+VLOOKUP($B48,'Master Data'!$B$453:$R$543,MATCH('Master Data'!$C48,'Master Data'!$B$453:$R$453,0),FALSE)</f>
        <v>209.52380952380952</v>
      </c>
      <c r="E48" s="326">
        <f>INDEX($AG$434:$AH$448,MATCH($C48,$AG$434:$AG$448,0),2)*D48</f>
        <v>10.476190476190476</v>
      </c>
      <c r="F48" s="80">
        <f t="shared" si="28"/>
        <v>0</v>
      </c>
      <c r="G48" s="167">
        <f t="shared" si="25"/>
        <v>220</v>
      </c>
      <c r="H48" s="167">
        <f t="shared" si="21"/>
        <v>0</v>
      </c>
      <c r="I48" s="167"/>
      <c r="J48" s="167">
        <f>+VLOOKUP($C48,'Master Data'!$B$433:$N$449,4,FALSE)</f>
        <v>0</v>
      </c>
      <c r="K48" s="167">
        <f>+VLOOKUP($C48,'Master Data'!$B$433:$N$449,5,FALSE)</f>
        <v>0</v>
      </c>
      <c r="L48" s="167"/>
      <c r="M48" s="167">
        <f>+VLOOKUP($C48,'Master Data'!$B$433:$N$449,7,FALSE)</f>
        <v>0</v>
      </c>
      <c r="N48" s="167">
        <f>+VLOOKUP($C48,'Master Data'!$B$433:$N$449,8,FALSE)</f>
        <v>0</v>
      </c>
      <c r="O48" s="167"/>
      <c r="P48" s="167">
        <f>+VLOOKUP($C48,'Master Data'!$B$433:$N$449,10,FALSE)</f>
        <v>0</v>
      </c>
      <c r="Q48" s="167">
        <f>+VLOOKUP($C48,'Master Data'!$B$433:$N$449,11,FALSE)</f>
        <v>4</v>
      </c>
      <c r="R48" s="167"/>
      <c r="S48" s="167">
        <f>+VLOOKUP($C48,'Master Data'!$B$433:$N$449,13,FALSE)</f>
        <v>4</v>
      </c>
      <c r="T48" s="167">
        <f t="shared" si="22"/>
        <v>213.52380952380952</v>
      </c>
      <c r="U48" s="167">
        <f t="shared" si="26"/>
        <v>224</v>
      </c>
      <c r="V48" s="167">
        <f t="shared" si="23"/>
        <v>0.2135238095238095</v>
      </c>
      <c r="W48" s="169">
        <f t="shared" si="24"/>
        <v>0.224</v>
      </c>
    </row>
    <row r="49" spans="1:23" ht="20" customHeight="1">
      <c r="A49" s="161">
        <f t="shared" si="27"/>
        <v>28</v>
      </c>
      <c r="B49" s="88" t="s">
        <v>68</v>
      </c>
      <c r="C49" s="88" t="s">
        <v>404</v>
      </c>
      <c r="D49" s="167">
        <f>+VLOOKUP($B49,'Master Data'!$B$453:$R$543,MATCH('Master Data'!$C49,'Master Data'!$B$453:$R$453,0),FALSE)</f>
        <v>450</v>
      </c>
      <c r="E49" s="326">
        <f>INDEX($AG$434:$AH$448,MATCH($C49,$AG$434:$AG$448,0),2)*D49</f>
        <v>22.5</v>
      </c>
      <c r="F49" s="80">
        <f t="shared" si="28"/>
        <v>0</v>
      </c>
      <c r="G49" s="167">
        <f t="shared" si="25"/>
        <v>472.5</v>
      </c>
      <c r="H49" s="167">
        <f t="shared" si="21"/>
        <v>0</v>
      </c>
      <c r="I49" s="167"/>
      <c r="J49" s="167">
        <f>+VLOOKUP($C49,'Master Data'!$B$433:$N$449,4,FALSE)</f>
        <v>0</v>
      </c>
      <c r="K49" s="167">
        <f>+VLOOKUP($C49,'Master Data'!$B$433:$N$449,5,FALSE)</f>
        <v>0</v>
      </c>
      <c r="L49" s="167"/>
      <c r="M49" s="167">
        <f>+VLOOKUP($C49,'Master Data'!$B$433:$N$449,7,FALSE)</f>
        <v>0</v>
      </c>
      <c r="N49" s="167">
        <f>+VLOOKUP($C49,'Master Data'!$B$433:$N$449,8,FALSE)</f>
        <v>0</v>
      </c>
      <c r="O49" s="167"/>
      <c r="P49" s="167">
        <f>+VLOOKUP($C49,'Master Data'!$B$433:$N$449,10,FALSE)</f>
        <v>0</v>
      </c>
      <c r="Q49" s="167">
        <f>+VLOOKUP($C49,'Master Data'!$B$433:$N$449,11,FALSE)</f>
        <v>4</v>
      </c>
      <c r="R49" s="167"/>
      <c r="S49" s="167">
        <f>+VLOOKUP($C49,'Master Data'!$B$433:$N$449,13,FALSE)</f>
        <v>4</v>
      </c>
      <c r="T49" s="167">
        <f t="shared" si="22"/>
        <v>454</v>
      </c>
      <c r="U49" s="167">
        <f t="shared" si="26"/>
        <v>476.5</v>
      </c>
      <c r="V49" s="167">
        <f t="shared" si="23"/>
        <v>0.45400000000000001</v>
      </c>
      <c r="W49" s="169">
        <f t="shared" si="24"/>
        <v>0.47649999999999998</v>
      </c>
    </row>
    <row r="50" spans="1:23" ht="20" customHeight="1">
      <c r="A50" s="161">
        <f t="shared" si="27"/>
        <v>29</v>
      </c>
      <c r="B50" s="88" t="s">
        <v>87</v>
      </c>
      <c r="C50" s="88" t="s">
        <v>78</v>
      </c>
      <c r="D50" s="167">
        <f>+VLOOKUP($B50,'Master Data'!$B$453:$R$543,MATCH('Master Data'!$C50,'Master Data'!$B$453:$R$453,0),FALSE)</f>
        <v>172</v>
      </c>
      <c r="E50" s="326">
        <f>INDEX($AG$434:$AH$448,MATCH($C50,$AG$434:$AG$448,0),2)*D50</f>
        <v>8.6</v>
      </c>
      <c r="F50" s="80">
        <f t="shared" si="28"/>
        <v>0</v>
      </c>
      <c r="G50" s="167">
        <f t="shared" si="25"/>
        <v>180.6</v>
      </c>
      <c r="H50" s="167">
        <f t="shared" si="21"/>
        <v>0</v>
      </c>
      <c r="I50" s="167"/>
      <c r="J50" s="167">
        <f>+VLOOKUP($C50,'Master Data'!$B$433:$N$449,4,FALSE)</f>
        <v>0</v>
      </c>
      <c r="K50" s="167">
        <f>+VLOOKUP($C50,'Master Data'!$B$433:$N$449,5,FALSE)</f>
        <v>0</v>
      </c>
      <c r="L50" s="167"/>
      <c r="M50" s="167">
        <f>+VLOOKUP($C50,'Master Data'!$B$433:$N$449,7,FALSE)</f>
        <v>0</v>
      </c>
      <c r="N50" s="167">
        <f>+VLOOKUP($C50,'Master Data'!$B$433:$N$449,8,FALSE)</f>
        <v>0</v>
      </c>
      <c r="O50" s="167"/>
      <c r="P50" s="167">
        <f>+VLOOKUP($C50,'Master Data'!$B$433:$N$449,10,FALSE)</f>
        <v>0</v>
      </c>
      <c r="Q50" s="167">
        <f>+VLOOKUP($C50,'Master Data'!$B$433:$N$449,11,FALSE)</f>
        <v>4</v>
      </c>
      <c r="R50" s="167"/>
      <c r="S50" s="167">
        <f>+VLOOKUP($C50,'Master Data'!$B$433:$N$449,13,FALSE)</f>
        <v>4</v>
      </c>
      <c r="T50" s="167">
        <f t="shared" si="22"/>
        <v>176</v>
      </c>
      <c r="U50" s="167">
        <f t="shared" si="26"/>
        <v>184.6</v>
      </c>
      <c r="V50" s="167">
        <f t="shared" si="23"/>
        <v>0.17599999999999999</v>
      </c>
      <c r="W50" s="169">
        <f t="shared" si="24"/>
        <v>0.18459999999999999</v>
      </c>
    </row>
    <row r="51" spans="1:23" ht="20" customHeight="1">
      <c r="A51" s="161">
        <f t="shared" si="27"/>
        <v>30</v>
      </c>
      <c r="B51" s="182" t="s">
        <v>435</v>
      </c>
      <c r="C51" s="88" t="s">
        <v>78</v>
      </c>
      <c r="D51" s="167">
        <f>+VLOOKUP($B51,'Master Data'!$B$453:$R$543,MATCH('Master Data'!$C51,'Master Data'!$B$453:$R$453,0),FALSE)</f>
        <v>340</v>
      </c>
      <c r="E51" s="168">
        <v>0</v>
      </c>
      <c r="F51" s="80">
        <f t="shared" si="28"/>
        <v>0</v>
      </c>
      <c r="G51" s="167">
        <f t="shared" si="25"/>
        <v>340</v>
      </c>
      <c r="H51" s="167">
        <f t="shared" si="21"/>
        <v>0</v>
      </c>
      <c r="I51" s="167"/>
      <c r="J51" s="167">
        <f>+VLOOKUP($C51,'Master Data'!$B$433:$N$449,4,FALSE)</f>
        <v>0</v>
      </c>
      <c r="K51" s="167">
        <f>+VLOOKUP($C51,'Master Data'!$B$433:$N$449,5,FALSE)</f>
        <v>0</v>
      </c>
      <c r="L51" s="167"/>
      <c r="M51" s="167">
        <f>+VLOOKUP($C51,'Master Data'!$B$433:$N$449,7,FALSE)</f>
        <v>0</v>
      </c>
      <c r="N51" s="167">
        <f>+VLOOKUP($C51,'Master Data'!$B$433:$N$449,8,FALSE)</f>
        <v>0</v>
      </c>
      <c r="O51" s="167"/>
      <c r="P51" s="167">
        <f>+VLOOKUP($C51,'Master Data'!$B$433:$N$449,10,FALSE)</f>
        <v>0</v>
      </c>
      <c r="Q51" s="167">
        <f>+VLOOKUP($C51,'Master Data'!$B$433:$N$449,11,FALSE)</f>
        <v>4</v>
      </c>
      <c r="R51" s="167"/>
      <c r="S51" s="167">
        <f>+VLOOKUP($C51,'Master Data'!$B$433:$N$449,13,FALSE)</f>
        <v>4</v>
      </c>
      <c r="T51" s="167">
        <f t="shared" si="22"/>
        <v>344</v>
      </c>
      <c r="U51" s="167">
        <f t="shared" si="26"/>
        <v>344</v>
      </c>
      <c r="V51" s="167">
        <f t="shared" si="23"/>
        <v>0.34399999999999997</v>
      </c>
      <c r="W51" s="169">
        <f t="shared" si="24"/>
        <v>0.34399999999999997</v>
      </c>
    </row>
    <row r="52" spans="1:23" ht="20" customHeight="1">
      <c r="A52" s="161">
        <f t="shared" si="27"/>
        <v>31</v>
      </c>
      <c r="B52" s="88" t="s">
        <v>40</v>
      </c>
      <c r="C52" s="88" t="s">
        <v>78</v>
      </c>
      <c r="D52" s="167">
        <f>+VLOOKUP($B52,'Master Data'!$B$453:$R$543,MATCH('Master Data'!$C52,'Master Data'!$B$453:$R$453,0),FALSE)</f>
        <v>96</v>
      </c>
      <c r="E52" s="326">
        <f t="shared" ref="E52:E61" si="30">INDEX($AG$434:$AH$448,MATCH($C52,$AG$434:$AG$448,0),2)*D52</f>
        <v>4.8000000000000007</v>
      </c>
      <c r="F52" s="80">
        <f t="shared" si="28"/>
        <v>0</v>
      </c>
      <c r="G52" s="167">
        <f t="shared" si="25"/>
        <v>100.8</v>
      </c>
      <c r="H52" s="167">
        <f t="shared" si="21"/>
        <v>0</v>
      </c>
      <c r="I52" s="167"/>
      <c r="J52" s="167">
        <f>+VLOOKUP($C52,'Master Data'!$B$433:$N$449,4,FALSE)</f>
        <v>0</v>
      </c>
      <c r="K52" s="167">
        <f>+VLOOKUP($C52,'Master Data'!$B$433:$N$449,5,FALSE)</f>
        <v>0</v>
      </c>
      <c r="L52" s="167"/>
      <c r="M52" s="167">
        <f>+VLOOKUP($C52,'Master Data'!$B$433:$N$449,7,FALSE)</f>
        <v>0</v>
      </c>
      <c r="N52" s="167">
        <f>+VLOOKUP($C52,'Master Data'!$B$433:$N$449,8,FALSE)</f>
        <v>0</v>
      </c>
      <c r="O52" s="167"/>
      <c r="P52" s="167">
        <f>+VLOOKUP($C52,'Master Data'!$B$433:$N$449,10,FALSE)</f>
        <v>0</v>
      </c>
      <c r="Q52" s="167">
        <f>+VLOOKUP($C52,'Master Data'!$B$433:$N$449,11,FALSE)</f>
        <v>4</v>
      </c>
      <c r="R52" s="167"/>
      <c r="S52" s="167">
        <f>+VLOOKUP($C52,'Master Data'!$B$433:$N$449,13,FALSE)</f>
        <v>4</v>
      </c>
      <c r="T52" s="167">
        <f t="shared" si="22"/>
        <v>100</v>
      </c>
      <c r="U52" s="167">
        <f t="shared" si="26"/>
        <v>104.8</v>
      </c>
      <c r="V52" s="167">
        <f t="shared" si="23"/>
        <v>0.1</v>
      </c>
      <c r="W52" s="169">
        <f t="shared" si="24"/>
        <v>0.10479999999999999</v>
      </c>
    </row>
    <row r="53" spans="1:23" ht="20" customHeight="1">
      <c r="A53" s="161">
        <f t="shared" si="27"/>
        <v>32</v>
      </c>
      <c r="B53" s="88" t="s">
        <v>35</v>
      </c>
      <c r="C53" s="88" t="s">
        <v>364</v>
      </c>
      <c r="D53" s="167">
        <f>+VLOOKUP($B53,'Master Data'!$B$453:$R$543,MATCH('Master Data'!$C53,'Master Data'!$B$453:$R$453,0),FALSE)</f>
        <v>3100</v>
      </c>
      <c r="E53" s="326">
        <f t="shared" si="30"/>
        <v>155</v>
      </c>
      <c r="F53" s="80">
        <f t="shared" si="28"/>
        <v>0</v>
      </c>
      <c r="G53" s="167">
        <f t="shared" si="25"/>
        <v>3255</v>
      </c>
      <c r="H53" s="167">
        <f t="shared" si="21"/>
        <v>0</v>
      </c>
      <c r="I53" s="167"/>
      <c r="J53" s="167">
        <f>+VLOOKUP($C53,'Master Data'!$B$433:$N$449,4,FALSE)</f>
        <v>0</v>
      </c>
      <c r="K53" s="167">
        <f>+VLOOKUP($C53,'Master Data'!$B$433:$N$449,5,FALSE)</f>
        <v>0</v>
      </c>
      <c r="L53" s="167"/>
      <c r="M53" s="167">
        <f>+VLOOKUP($C53,'Master Data'!$B$433:$N$449,7,FALSE)</f>
        <v>0</v>
      </c>
      <c r="N53" s="167">
        <f>+VLOOKUP($C53,'Master Data'!$B$433:$N$449,8,FALSE)</f>
        <v>33</v>
      </c>
      <c r="O53" s="167"/>
      <c r="P53" s="167">
        <f>+VLOOKUP($C53,'Master Data'!$B$433:$N$449,10,FALSE)</f>
        <v>0</v>
      </c>
      <c r="Q53" s="167">
        <f>+VLOOKUP($C53,'Master Data'!$B$433:$N$449,11,FALSE)</f>
        <v>8</v>
      </c>
      <c r="R53" s="167"/>
      <c r="S53" s="167">
        <f>+VLOOKUP($C53,'Master Data'!$B$433:$N$449,13,FALSE)</f>
        <v>0</v>
      </c>
      <c r="T53" s="167">
        <f t="shared" si="22"/>
        <v>3141</v>
      </c>
      <c r="U53" s="167">
        <f t="shared" si="26"/>
        <v>3255</v>
      </c>
      <c r="V53" s="167">
        <f t="shared" si="23"/>
        <v>3.141</v>
      </c>
      <c r="W53" s="169">
        <f t="shared" si="24"/>
        <v>3.2549999999999999</v>
      </c>
    </row>
    <row r="54" spans="1:23" ht="20" customHeight="1">
      <c r="A54" s="161">
        <f t="shared" si="27"/>
        <v>33</v>
      </c>
      <c r="B54" s="88" t="s">
        <v>544</v>
      </c>
      <c r="C54" s="88" t="s">
        <v>364</v>
      </c>
      <c r="D54" s="167">
        <f>+VLOOKUP($B54,'Master Data'!$B$453:$R$543,MATCH('Master Data'!$C54,'Master Data'!$B$453:$R$453,0),FALSE)</f>
        <v>3100</v>
      </c>
      <c r="E54" s="326">
        <f t="shared" si="30"/>
        <v>155</v>
      </c>
      <c r="F54" s="80">
        <f t="shared" si="28"/>
        <v>0</v>
      </c>
      <c r="G54" s="167">
        <f t="shared" si="25"/>
        <v>3255</v>
      </c>
      <c r="H54" s="167">
        <f t="shared" ref="H54:H85" si="31">INDEX($B$433:$N$449,MATCH($C54,$B$433:$B$449,0),MATCH(H$20,$B$433:$N$433,0))</f>
        <v>0</v>
      </c>
      <c r="I54" s="167"/>
      <c r="J54" s="167">
        <f>+VLOOKUP($C54,'Master Data'!$B$433:$N$449,4,FALSE)</f>
        <v>0</v>
      </c>
      <c r="K54" s="167">
        <f>+VLOOKUP($C54,'Master Data'!$B$433:$N$449,5,FALSE)</f>
        <v>0</v>
      </c>
      <c r="L54" s="167"/>
      <c r="M54" s="167">
        <f>+VLOOKUP($C54,'Master Data'!$B$433:$N$449,7,FALSE)</f>
        <v>0</v>
      </c>
      <c r="N54" s="167">
        <f>+VLOOKUP($C54,'Master Data'!$B$433:$N$449,8,FALSE)</f>
        <v>33</v>
      </c>
      <c r="O54" s="167"/>
      <c r="P54" s="167">
        <f>+VLOOKUP($C54,'Master Data'!$B$433:$N$449,10,FALSE)</f>
        <v>0</v>
      </c>
      <c r="Q54" s="167">
        <f>+VLOOKUP($C54,'Master Data'!$B$433:$N$449,11,FALSE)</f>
        <v>8</v>
      </c>
      <c r="R54" s="167"/>
      <c r="S54" s="167">
        <f>+VLOOKUP($C54,'Master Data'!$B$433:$N$449,13,FALSE)</f>
        <v>0</v>
      </c>
      <c r="T54" s="167">
        <f t="shared" ref="T54:T85" si="32">IF(D54=0,0,$D54+$H54+$K54+$N54+$Q54)</f>
        <v>3141</v>
      </c>
      <c r="U54" s="167">
        <f t="shared" si="26"/>
        <v>3255</v>
      </c>
      <c r="V54" s="167">
        <f t="shared" ref="V54:V85" si="33">+$T54/1000</f>
        <v>3.141</v>
      </c>
      <c r="W54" s="169">
        <f t="shared" ref="W54:W85" si="34">+$U54/1000</f>
        <v>3.2549999999999999</v>
      </c>
    </row>
    <row r="55" spans="1:23" ht="20" customHeight="1">
      <c r="A55" s="161">
        <f t="shared" si="27"/>
        <v>34</v>
      </c>
      <c r="B55" s="88" t="s">
        <v>67</v>
      </c>
      <c r="C55" s="88" t="s">
        <v>78</v>
      </c>
      <c r="D55" s="167">
        <f>+VLOOKUP($B55,'Master Data'!$B$453:$R$543,MATCH('Master Data'!$C55,'Master Data'!$B$453:$R$453,0),FALSE)</f>
        <v>120</v>
      </c>
      <c r="E55" s="326">
        <f t="shared" si="30"/>
        <v>6</v>
      </c>
      <c r="F55" s="80">
        <f t="shared" si="28"/>
        <v>0</v>
      </c>
      <c r="G55" s="167">
        <f t="shared" si="25"/>
        <v>126</v>
      </c>
      <c r="H55" s="167">
        <f t="shared" si="31"/>
        <v>0</v>
      </c>
      <c r="I55" s="167"/>
      <c r="J55" s="167">
        <f>+VLOOKUP($C55,'Master Data'!$B$433:$N$449,4,FALSE)</f>
        <v>0</v>
      </c>
      <c r="K55" s="167">
        <f>+VLOOKUP($C55,'Master Data'!$B$433:$N$449,5,FALSE)</f>
        <v>0</v>
      </c>
      <c r="L55" s="167"/>
      <c r="M55" s="167">
        <f>+VLOOKUP($C55,'Master Data'!$B$433:$N$449,7,FALSE)</f>
        <v>0</v>
      </c>
      <c r="N55" s="167">
        <f>+VLOOKUP($C55,'Master Data'!$B$433:$N$449,8,FALSE)</f>
        <v>0</v>
      </c>
      <c r="O55" s="167"/>
      <c r="P55" s="167">
        <f>+VLOOKUP($C55,'Master Data'!$B$433:$N$449,10,FALSE)</f>
        <v>0</v>
      </c>
      <c r="Q55" s="167">
        <f>+VLOOKUP($C55,'Master Data'!$B$433:$N$449,11,FALSE)</f>
        <v>4</v>
      </c>
      <c r="R55" s="167"/>
      <c r="S55" s="167">
        <f>+VLOOKUP($C55,'Master Data'!$B$433:$N$449,13,FALSE)</f>
        <v>4</v>
      </c>
      <c r="T55" s="167">
        <f t="shared" si="32"/>
        <v>124</v>
      </c>
      <c r="U55" s="167">
        <f t="shared" si="26"/>
        <v>130</v>
      </c>
      <c r="V55" s="167">
        <f t="shared" si="33"/>
        <v>0.124</v>
      </c>
      <c r="W55" s="169">
        <f t="shared" si="34"/>
        <v>0.13</v>
      </c>
    </row>
    <row r="56" spans="1:23" ht="20" customHeight="1">
      <c r="A56" s="161">
        <f t="shared" si="27"/>
        <v>35</v>
      </c>
      <c r="B56" s="88" t="s">
        <v>88</v>
      </c>
      <c r="C56" s="88" t="s">
        <v>78</v>
      </c>
      <c r="D56" s="167">
        <f>+VLOOKUP($B56,'Master Data'!$B$453:$R$543,MATCH('Master Data'!$C56,'Master Data'!$B$453:$R$453,0),FALSE)</f>
        <v>52</v>
      </c>
      <c r="E56" s="326">
        <f t="shared" si="30"/>
        <v>2.6</v>
      </c>
      <c r="F56" s="80">
        <f t="shared" si="28"/>
        <v>0</v>
      </c>
      <c r="G56" s="167">
        <f t="shared" si="25"/>
        <v>54.6</v>
      </c>
      <c r="H56" s="167">
        <f t="shared" si="31"/>
        <v>0</v>
      </c>
      <c r="I56" s="167"/>
      <c r="J56" s="167">
        <f>+VLOOKUP($C56,'Master Data'!$B$433:$N$449,4,FALSE)</f>
        <v>0</v>
      </c>
      <c r="K56" s="167">
        <f>+VLOOKUP($C56,'Master Data'!$B$433:$N$449,5,FALSE)</f>
        <v>0</v>
      </c>
      <c r="L56" s="167"/>
      <c r="M56" s="167">
        <f>+VLOOKUP($C56,'Master Data'!$B$433:$N$449,7,FALSE)</f>
        <v>0</v>
      </c>
      <c r="N56" s="167">
        <f>+VLOOKUP($C56,'Master Data'!$B$433:$N$449,8,FALSE)</f>
        <v>0</v>
      </c>
      <c r="O56" s="167"/>
      <c r="P56" s="167">
        <f>+VLOOKUP($C56,'Master Data'!$B$433:$N$449,10,FALSE)</f>
        <v>0</v>
      </c>
      <c r="Q56" s="167">
        <f>+VLOOKUP($C56,'Master Data'!$B$433:$N$449,11,FALSE)</f>
        <v>4</v>
      </c>
      <c r="R56" s="167"/>
      <c r="S56" s="167">
        <f>+VLOOKUP($C56,'Master Data'!$B$433:$N$449,13,FALSE)</f>
        <v>4</v>
      </c>
      <c r="T56" s="167">
        <f t="shared" si="32"/>
        <v>56</v>
      </c>
      <c r="U56" s="167">
        <f t="shared" si="26"/>
        <v>58.6</v>
      </c>
      <c r="V56" s="167">
        <f t="shared" si="33"/>
        <v>5.6000000000000001E-2</v>
      </c>
      <c r="W56" s="169">
        <f t="shared" si="34"/>
        <v>5.8599999999999999E-2</v>
      </c>
    </row>
    <row r="57" spans="1:23" ht="20" customHeight="1">
      <c r="A57" s="161">
        <f t="shared" si="27"/>
        <v>36</v>
      </c>
      <c r="B57" s="88" t="s">
        <v>545</v>
      </c>
      <c r="C57" s="88" t="s">
        <v>404</v>
      </c>
      <c r="D57" s="167">
        <f>+VLOOKUP($B57,'Master Data'!$B$453:$R$543,MATCH('Master Data'!$C57,'Master Data'!$B$453:$R$453,0),FALSE)</f>
        <v>450</v>
      </c>
      <c r="E57" s="326">
        <f t="shared" si="30"/>
        <v>22.5</v>
      </c>
      <c r="F57" s="80">
        <f t="shared" si="28"/>
        <v>0</v>
      </c>
      <c r="G57" s="167">
        <f t="shared" si="25"/>
        <v>472.5</v>
      </c>
      <c r="H57" s="167">
        <f t="shared" si="31"/>
        <v>0</v>
      </c>
      <c r="I57" s="167"/>
      <c r="J57" s="167">
        <f>+VLOOKUP($C57,'Master Data'!$B$433:$N$449,4,FALSE)</f>
        <v>0</v>
      </c>
      <c r="K57" s="167">
        <f>+VLOOKUP($C57,'Master Data'!$B$433:$N$449,5,FALSE)</f>
        <v>0</v>
      </c>
      <c r="L57" s="167"/>
      <c r="M57" s="167">
        <f>+VLOOKUP($C57,'Master Data'!$B$433:$N$449,7,FALSE)</f>
        <v>0</v>
      </c>
      <c r="N57" s="167">
        <f>+VLOOKUP($C57,'Master Data'!$B$433:$N$449,8,FALSE)</f>
        <v>0</v>
      </c>
      <c r="O57" s="167"/>
      <c r="P57" s="167">
        <f>+VLOOKUP($C57,'Master Data'!$B$433:$N$449,10,FALSE)</f>
        <v>0</v>
      </c>
      <c r="Q57" s="167">
        <f>+VLOOKUP($C57,'Master Data'!$B$433:$N$449,11,FALSE)</f>
        <v>4</v>
      </c>
      <c r="R57" s="167"/>
      <c r="S57" s="167">
        <f>+VLOOKUP($C57,'Master Data'!$B$433:$N$449,13,FALSE)</f>
        <v>4</v>
      </c>
      <c r="T57" s="167">
        <f t="shared" si="32"/>
        <v>454</v>
      </c>
      <c r="U57" s="167">
        <f t="shared" si="26"/>
        <v>476.5</v>
      </c>
      <c r="V57" s="167">
        <f t="shared" si="33"/>
        <v>0.45400000000000001</v>
      </c>
      <c r="W57" s="169">
        <f t="shared" si="34"/>
        <v>0.47649999999999998</v>
      </c>
    </row>
    <row r="58" spans="1:23" ht="20" customHeight="1">
      <c r="A58" s="161">
        <f t="shared" si="27"/>
        <v>37</v>
      </c>
      <c r="B58" s="87" t="s">
        <v>65</v>
      </c>
      <c r="C58" s="87" t="s">
        <v>78</v>
      </c>
      <c r="D58" s="167">
        <f>+VLOOKUP($B58,'Master Data'!$B$453:$R$543,MATCH('Master Data'!$C58,'Master Data'!$B$453:$R$453,0),FALSE)</f>
        <v>115</v>
      </c>
      <c r="E58" s="326">
        <f t="shared" si="30"/>
        <v>5.75</v>
      </c>
      <c r="F58" s="80">
        <f t="shared" si="28"/>
        <v>0</v>
      </c>
      <c r="G58" s="167">
        <f t="shared" si="25"/>
        <v>120.75</v>
      </c>
      <c r="H58" s="167">
        <f t="shared" si="31"/>
        <v>0</v>
      </c>
      <c r="I58" s="167"/>
      <c r="J58" s="167">
        <f>+VLOOKUP($C58,'Master Data'!$B$433:$N$449,4,FALSE)</f>
        <v>0</v>
      </c>
      <c r="K58" s="167">
        <f>+VLOOKUP($C58,'Master Data'!$B$433:$N$449,5,FALSE)</f>
        <v>0</v>
      </c>
      <c r="L58" s="167"/>
      <c r="M58" s="167">
        <f>+VLOOKUP($C58,'Master Data'!$B$433:$N$449,7,FALSE)</f>
        <v>0</v>
      </c>
      <c r="N58" s="167">
        <f>+VLOOKUP($C58,'Master Data'!$B$433:$N$449,8,FALSE)</f>
        <v>0</v>
      </c>
      <c r="O58" s="167"/>
      <c r="P58" s="167">
        <f>+VLOOKUP($C58,'Master Data'!$B$433:$N$449,10,FALSE)</f>
        <v>0</v>
      </c>
      <c r="Q58" s="167">
        <f>+VLOOKUP($C58,'Master Data'!$B$433:$N$449,11,FALSE)</f>
        <v>4</v>
      </c>
      <c r="R58" s="167"/>
      <c r="S58" s="167">
        <f>+VLOOKUP($C58,'Master Data'!$B$433:$N$449,13,FALSE)</f>
        <v>4</v>
      </c>
      <c r="T58" s="167">
        <f t="shared" si="32"/>
        <v>119</v>
      </c>
      <c r="U58" s="167">
        <f t="shared" si="26"/>
        <v>124.75</v>
      </c>
      <c r="V58" s="167">
        <f t="shared" si="33"/>
        <v>0.11899999999999999</v>
      </c>
      <c r="W58" s="169">
        <f t="shared" si="34"/>
        <v>0.12475</v>
      </c>
    </row>
    <row r="59" spans="1:23" ht="20" customHeight="1">
      <c r="A59" s="161">
        <f t="shared" si="27"/>
        <v>38</v>
      </c>
      <c r="B59" s="87" t="s">
        <v>89</v>
      </c>
      <c r="C59" s="87" t="s">
        <v>78</v>
      </c>
      <c r="D59" s="167">
        <f>+VLOOKUP($B59,'Master Data'!$B$453:$R$543,MATCH('Master Data'!$C59,'Master Data'!$B$453:$R$453,0),FALSE)</f>
        <v>457.14285714285711</v>
      </c>
      <c r="E59" s="326">
        <f t="shared" si="30"/>
        <v>22.857142857142858</v>
      </c>
      <c r="F59" s="80">
        <f t="shared" si="28"/>
        <v>0</v>
      </c>
      <c r="G59" s="167">
        <f t="shared" si="25"/>
        <v>479.99999999999994</v>
      </c>
      <c r="H59" s="167">
        <f t="shared" si="31"/>
        <v>0</v>
      </c>
      <c r="I59" s="167"/>
      <c r="J59" s="167">
        <f>+VLOOKUP($C59,'Master Data'!$B$433:$N$449,4,FALSE)</f>
        <v>0</v>
      </c>
      <c r="K59" s="167">
        <f>+VLOOKUP($C59,'Master Data'!$B$433:$N$449,5,FALSE)</f>
        <v>0</v>
      </c>
      <c r="L59" s="167"/>
      <c r="M59" s="167">
        <f>+VLOOKUP($C59,'Master Data'!$B$433:$N$449,7,FALSE)</f>
        <v>0</v>
      </c>
      <c r="N59" s="167">
        <f>+VLOOKUP($C59,'Master Data'!$B$433:$N$449,8,FALSE)</f>
        <v>0</v>
      </c>
      <c r="O59" s="167"/>
      <c r="P59" s="167">
        <f>+VLOOKUP($C59,'Master Data'!$B$433:$N$449,10,FALSE)</f>
        <v>0</v>
      </c>
      <c r="Q59" s="167">
        <f>+VLOOKUP($C59,'Master Data'!$B$433:$N$449,11,FALSE)</f>
        <v>4</v>
      </c>
      <c r="R59" s="167"/>
      <c r="S59" s="167">
        <f>+VLOOKUP($C59,'Master Data'!$B$433:$N$449,13,FALSE)</f>
        <v>4</v>
      </c>
      <c r="T59" s="167">
        <f t="shared" si="32"/>
        <v>461.14285714285711</v>
      </c>
      <c r="U59" s="167">
        <f t="shared" si="26"/>
        <v>483.99999999999994</v>
      </c>
      <c r="V59" s="167">
        <f t="shared" si="33"/>
        <v>0.46114285714285713</v>
      </c>
      <c r="W59" s="169">
        <f t="shared" si="34"/>
        <v>0.48399999999999993</v>
      </c>
    </row>
    <row r="60" spans="1:23" ht="20" customHeight="1">
      <c r="A60" s="161">
        <f t="shared" si="27"/>
        <v>39</v>
      </c>
      <c r="B60" s="88" t="s">
        <v>270</v>
      </c>
      <c r="C60" s="88" t="s">
        <v>84</v>
      </c>
      <c r="D60" s="167">
        <f>+VLOOKUP($B60,'Master Data'!$B$453:$R$543,MATCH('Master Data'!$C60,'Master Data'!$B$453:$R$453,0),FALSE)</f>
        <v>1070</v>
      </c>
      <c r="E60" s="326">
        <f t="shared" si="30"/>
        <v>0</v>
      </c>
      <c r="F60" s="80">
        <f t="shared" si="28"/>
        <v>0</v>
      </c>
      <c r="G60" s="167">
        <f t="shared" si="25"/>
        <v>1070</v>
      </c>
      <c r="H60" s="167">
        <f t="shared" si="31"/>
        <v>0</v>
      </c>
      <c r="I60" s="167"/>
      <c r="J60" s="167">
        <f>+VLOOKUP($C60,'Master Data'!$B$433:$N$449,4,FALSE)</f>
        <v>0</v>
      </c>
      <c r="K60" s="167">
        <f>+VLOOKUP($C60,'Master Data'!$B$433:$N$449,5,FALSE)</f>
        <v>0</v>
      </c>
      <c r="L60" s="167"/>
      <c r="M60" s="167">
        <f>+VLOOKUP($C60,'Master Data'!$B$433:$N$449,7,FALSE)</f>
        <v>0</v>
      </c>
      <c r="N60" s="167">
        <f>+VLOOKUP($C60,'Master Data'!$B$433:$N$449,8,FALSE)</f>
        <v>0</v>
      </c>
      <c r="O60" s="167"/>
      <c r="P60" s="167">
        <f>+VLOOKUP($C60,'Master Data'!$B$433:$N$449,10,FALSE)</f>
        <v>0</v>
      </c>
      <c r="Q60" s="167">
        <f>+VLOOKUP($C60,'Master Data'!$B$433:$N$449,11,FALSE)</f>
        <v>0</v>
      </c>
      <c r="R60" s="167"/>
      <c r="S60" s="167">
        <f>+VLOOKUP($C60,'Master Data'!$B$433:$N$449,13,FALSE)</f>
        <v>0</v>
      </c>
      <c r="T60" s="167">
        <f t="shared" si="32"/>
        <v>1070</v>
      </c>
      <c r="U60" s="167">
        <f t="shared" si="26"/>
        <v>1070</v>
      </c>
      <c r="V60" s="167">
        <f t="shared" si="33"/>
        <v>1.07</v>
      </c>
      <c r="W60" s="169">
        <f t="shared" si="34"/>
        <v>1.07</v>
      </c>
    </row>
    <row r="61" spans="1:23" ht="20" customHeight="1">
      <c r="A61" s="161">
        <f t="shared" si="27"/>
        <v>40</v>
      </c>
      <c r="B61" s="88" t="s">
        <v>36</v>
      </c>
      <c r="C61" s="88" t="s">
        <v>404</v>
      </c>
      <c r="D61" s="167">
        <f>+VLOOKUP($B61,'Master Data'!$B$453:$R$543,MATCH('Master Data'!$C61,'Master Data'!$B$453:$R$453,0),FALSE)</f>
        <v>400</v>
      </c>
      <c r="E61" s="326">
        <f t="shared" si="30"/>
        <v>20</v>
      </c>
      <c r="F61" s="80">
        <f t="shared" si="28"/>
        <v>0</v>
      </c>
      <c r="G61" s="167">
        <f t="shared" si="25"/>
        <v>420</v>
      </c>
      <c r="H61" s="167">
        <f t="shared" si="31"/>
        <v>0</v>
      </c>
      <c r="I61" s="167"/>
      <c r="J61" s="167">
        <f>+VLOOKUP($C61,'Master Data'!$B$433:$N$449,4,FALSE)</f>
        <v>0</v>
      </c>
      <c r="K61" s="167">
        <f>+VLOOKUP($C61,'Master Data'!$B$433:$N$449,5,FALSE)</f>
        <v>0</v>
      </c>
      <c r="L61" s="167"/>
      <c r="M61" s="167">
        <f>+VLOOKUP($C61,'Master Data'!$B$433:$N$449,7,FALSE)</f>
        <v>0</v>
      </c>
      <c r="N61" s="167">
        <f>+VLOOKUP($C61,'Master Data'!$B$433:$N$449,8,FALSE)</f>
        <v>0</v>
      </c>
      <c r="O61" s="167"/>
      <c r="P61" s="167">
        <f>+VLOOKUP($C61,'Master Data'!$B$433:$N$449,10,FALSE)</f>
        <v>0</v>
      </c>
      <c r="Q61" s="167">
        <f>+VLOOKUP($C61,'Master Data'!$B$433:$N$449,11,FALSE)</f>
        <v>4</v>
      </c>
      <c r="R61" s="167"/>
      <c r="S61" s="167">
        <f>+VLOOKUP($C61,'Master Data'!$B$433:$N$449,13,FALSE)</f>
        <v>4</v>
      </c>
      <c r="T61" s="167">
        <f t="shared" si="32"/>
        <v>404</v>
      </c>
      <c r="U61" s="167">
        <f t="shared" si="26"/>
        <v>424</v>
      </c>
      <c r="V61" s="167">
        <f t="shared" si="33"/>
        <v>0.40400000000000003</v>
      </c>
      <c r="W61" s="169">
        <f t="shared" si="34"/>
        <v>0.42399999999999999</v>
      </c>
    </row>
    <row r="62" spans="1:23" ht="20" customHeight="1">
      <c r="A62" s="161">
        <f t="shared" si="27"/>
        <v>41</v>
      </c>
      <c r="B62" s="87" t="s">
        <v>56</v>
      </c>
      <c r="C62" s="87" t="s">
        <v>552</v>
      </c>
      <c r="D62" s="167">
        <f>+VLOOKUP($B62,'Master Data'!$B$453:$R$543,MATCH('Master Data'!$C62,'Master Data'!$B$453:$R$453,0),FALSE)</f>
        <v>246.4733333333333</v>
      </c>
      <c r="E62" s="326">
        <f t="shared" ref="E62:E67" si="35">INDEX($AG$434:$AH$449,MATCH($C62,$AG$434:$AG$449,0),2)*D62</f>
        <v>0</v>
      </c>
      <c r="F62" s="80">
        <f t="shared" si="28"/>
        <v>0</v>
      </c>
      <c r="G62" s="167">
        <f t="shared" si="25"/>
        <v>246.4733333333333</v>
      </c>
      <c r="H62" s="167">
        <f t="shared" si="31"/>
        <v>0</v>
      </c>
      <c r="I62" s="167"/>
      <c r="J62" s="167">
        <f>+VLOOKUP($C62,'Master Data'!$B$433:$N$449,4,FALSE)</f>
        <v>0</v>
      </c>
      <c r="K62" s="167">
        <f>+VLOOKUP($C62,'Master Data'!$B$433:$N$449,5,FALSE)</f>
        <v>0</v>
      </c>
      <c r="L62" s="167"/>
      <c r="M62" s="167">
        <f>+VLOOKUP($C62,'Master Data'!$B$433:$N$449,7,FALSE)</f>
        <v>0</v>
      </c>
      <c r="N62" s="167">
        <f>+VLOOKUP($C62,'Master Data'!$B$433:$N$449,8,FALSE)</f>
        <v>0</v>
      </c>
      <c r="O62" s="167"/>
      <c r="P62" s="167">
        <f>+VLOOKUP($C62,'Master Data'!$B$433:$N$449,10,FALSE)</f>
        <v>0</v>
      </c>
      <c r="Q62" s="167">
        <f>+VLOOKUP($C62,'Master Data'!$B$433:$N$449,11,FALSE)</f>
        <v>0</v>
      </c>
      <c r="R62" s="167"/>
      <c r="S62" s="167">
        <f>+VLOOKUP($C62,'Master Data'!$B$433:$N$449,13,FALSE)</f>
        <v>0</v>
      </c>
      <c r="T62" s="167">
        <f t="shared" si="32"/>
        <v>246.4733333333333</v>
      </c>
      <c r="U62" s="167">
        <f>IF(G62=0,0,G62+J62+M62+P62+S62)</f>
        <v>246.4733333333333</v>
      </c>
      <c r="V62" s="167">
        <f t="shared" si="33"/>
        <v>0.24647333333333329</v>
      </c>
      <c r="W62" s="169">
        <f t="shared" si="34"/>
        <v>0.24647333333333329</v>
      </c>
    </row>
    <row r="63" spans="1:23" ht="20" customHeight="1">
      <c r="A63" s="161">
        <f t="shared" si="27"/>
        <v>42</v>
      </c>
      <c r="B63" s="87" t="s">
        <v>60</v>
      </c>
      <c r="C63" s="88" t="s">
        <v>404</v>
      </c>
      <c r="D63" s="167">
        <f>+VLOOKUP($B63,'Master Data'!$B$453:$R$543,MATCH('Master Data'!$C63,'Master Data'!$B$453:$R$453,0),FALSE)</f>
        <v>340</v>
      </c>
      <c r="E63" s="326">
        <f t="shared" si="35"/>
        <v>17</v>
      </c>
      <c r="F63" s="80">
        <f t="shared" si="28"/>
        <v>0</v>
      </c>
      <c r="G63" s="167">
        <f t="shared" si="25"/>
        <v>357</v>
      </c>
      <c r="H63" s="167">
        <f t="shared" si="31"/>
        <v>0</v>
      </c>
      <c r="I63" s="167"/>
      <c r="J63" s="167">
        <f>+VLOOKUP($C63,'Master Data'!$B$433:$N$449,4,FALSE)</f>
        <v>0</v>
      </c>
      <c r="K63" s="167">
        <f>+VLOOKUP($C63,'Master Data'!$B$433:$N$449,5,FALSE)</f>
        <v>0</v>
      </c>
      <c r="L63" s="167"/>
      <c r="M63" s="167">
        <f>+VLOOKUP($C63,'Master Data'!$B$433:$N$449,7,FALSE)</f>
        <v>0</v>
      </c>
      <c r="N63" s="167">
        <f>+VLOOKUP($C63,'Master Data'!$B$433:$N$449,8,FALSE)</f>
        <v>0</v>
      </c>
      <c r="O63" s="167"/>
      <c r="P63" s="167">
        <f>+VLOOKUP($C63,'Master Data'!$B$433:$N$449,10,FALSE)</f>
        <v>0</v>
      </c>
      <c r="Q63" s="167">
        <f>+VLOOKUP($C63,'Master Data'!$B$433:$N$449,11,FALSE)</f>
        <v>4</v>
      </c>
      <c r="R63" s="167"/>
      <c r="S63" s="167">
        <f>+VLOOKUP($C63,'Master Data'!$B$433:$N$449,13,FALSE)</f>
        <v>4</v>
      </c>
      <c r="T63" s="167">
        <f t="shared" si="32"/>
        <v>344</v>
      </c>
      <c r="U63" s="167">
        <f t="shared" si="26"/>
        <v>361</v>
      </c>
      <c r="V63" s="167">
        <f t="shared" si="33"/>
        <v>0.34399999999999997</v>
      </c>
      <c r="W63" s="169">
        <f t="shared" si="34"/>
        <v>0.36099999999999999</v>
      </c>
    </row>
    <row r="64" spans="1:23" ht="20" customHeight="1">
      <c r="A64" s="161">
        <f t="shared" si="27"/>
        <v>43</v>
      </c>
      <c r="B64" s="88" t="s">
        <v>119</v>
      </c>
      <c r="C64" s="88" t="s">
        <v>83</v>
      </c>
      <c r="D64" s="167">
        <f>+VLOOKUP($B64,'Master Data'!$B$453:$R$543,MATCH('Master Data'!$C64,'Master Data'!$B$453:$R$453,0),FALSE)</f>
        <v>800</v>
      </c>
      <c r="E64" s="326">
        <f t="shared" si="35"/>
        <v>40</v>
      </c>
      <c r="F64" s="80">
        <f t="shared" si="28"/>
        <v>0</v>
      </c>
      <c r="G64" s="167">
        <f t="shared" si="25"/>
        <v>840</v>
      </c>
      <c r="H64" s="167">
        <f t="shared" si="31"/>
        <v>0</v>
      </c>
      <c r="I64" s="167"/>
      <c r="J64" s="167">
        <f>+VLOOKUP($C64,'Master Data'!$B$433:$N$449,4,FALSE)</f>
        <v>0</v>
      </c>
      <c r="K64" s="167">
        <f>+VLOOKUP($C64,'Master Data'!$B$433:$N$449,5,FALSE)</f>
        <v>0</v>
      </c>
      <c r="L64" s="167"/>
      <c r="M64" s="167">
        <f>+VLOOKUP($C64,'Master Data'!$B$433:$N$449,7,FALSE)</f>
        <v>0</v>
      </c>
      <c r="N64" s="167">
        <f>+VLOOKUP($C64,'Master Data'!$B$433:$N$449,8,FALSE)</f>
        <v>33</v>
      </c>
      <c r="O64" s="167"/>
      <c r="P64" s="167">
        <f>+VLOOKUP($C64,'Master Data'!$B$433:$N$449,10,FALSE)</f>
        <v>33</v>
      </c>
      <c r="Q64" s="167">
        <f>+VLOOKUP($C64,'Master Data'!$B$433:$N$449,11,FALSE)</f>
        <v>8</v>
      </c>
      <c r="R64" s="167"/>
      <c r="S64" s="167">
        <f>+VLOOKUP($C64,'Master Data'!$B$433:$N$449,13,FALSE)</f>
        <v>8</v>
      </c>
      <c r="T64" s="167">
        <f t="shared" si="32"/>
        <v>841</v>
      </c>
      <c r="U64" s="167">
        <f t="shared" si="26"/>
        <v>881</v>
      </c>
      <c r="V64" s="167">
        <f t="shared" si="33"/>
        <v>0.84099999999999997</v>
      </c>
      <c r="W64" s="169">
        <f t="shared" si="34"/>
        <v>0.88100000000000001</v>
      </c>
    </row>
    <row r="65" spans="1:23" ht="20" customHeight="1">
      <c r="A65" s="161">
        <f t="shared" si="27"/>
        <v>44</v>
      </c>
      <c r="B65" s="88" t="s">
        <v>16</v>
      </c>
      <c r="C65" s="88" t="s">
        <v>83</v>
      </c>
      <c r="D65" s="167">
        <f>+VLOOKUP($B65,'Master Data'!$B$453:$R$543,MATCH('Master Data'!$C65,'Master Data'!$B$453:$R$453,0),FALSE)</f>
        <v>2700</v>
      </c>
      <c r="E65" s="326">
        <f t="shared" si="35"/>
        <v>135</v>
      </c>
      <c r="F65" s="80">
        <f t="shared" si="28"/>
        <v>0</v>
      </c>
      <c r="G65" s="167">
        <f t="shared" si="25"/>
        <v>2835</v>
      </c>
      <c r="H65" s="167">
        <f t="shared" si="31"/>
        <v>0</v>
      </c>
      <c r="I65" s="167"/>
      <c r="J65" s="167">
        <f>+VLOOKUP($C65,'Master Data'!$B$433:$N$449,4,FALSE)</f>
        <v>0</v>
      </c>
      <c r="K65" s="167">
        <f>+VLOOKUP($C65,'Master Data'!$B$433:$N$449,5,FALSE)</f>
        <v>0</v>
      </c>
      <c r="L65" s="167"/>
      <c r="M65" s="167">
        <f>+VLOOKUP($C65,'Master Data'!$B$433:$N$449,7,FALSE)</f>
        <v>0</v>
      </c>
      <c r="N65" s="167">
        <f>+VLOOKUP($C65,'Master Data'!$B$433:$N$449,8,FALSE)</f>
        <v>33</v>
      </c>
      <c r="O65" s="167"/>
      <c r="P65" s="167">
        <f>+VLOOKUP($C65,'Master Data'!$B$433:$N$449,10,FALSE)</f>
        <v>33</v>
      </c>
      <c r="Q65" s="167">
        <f>+VLOOKUP($C65,'Master Data'!$B$433:$N$449,11,FALSE)</f>
        <v>8</v>
      </c>
      <c r="R65" s="167"/>
      <c r="S65" s="167">
        <f>+VLOOKUP($C65,'Master Data'!$B$433:$N$449,13,FALSE)</f>
        <v>8</v>
      </c>
      <c r="T65" s="167">
        <f t="shared" si="32"/>
        <v>2741</v>
      </c>
      <c r="U65" s="167">
        <f t="shared" si="26"/>
        <v>2876</v>
      </c>
      <c r="V65" s="167">
        <f t="shared" si="33"/>
        <v>2.7410000000000001</v>
      </c>
      <c r="W65" s="169">
        <f t="shared" si="34"/>
        <v>2.8759999999999999</v>
      </c>
    </row>
    <row r="66" spans="1:23" ht="20" customHeight="1">
      <c r="A66" s="161">
        <f t="shared" si="27"/>
        <v>45</v>
      </c>
      <c r="B66" s="88" t="s">
        <v>118</v>
      </c>
      <c r="C66" s="88" t="s">
        <v>404</v>
      </c>
      <c r="D66" s="167">
        <f>+VLOOKUP($B66,'Master Data'!$B$453:$R$543,MATCH('Master Data'!$C66,'Master Data'!$B$453:$R$453,0),FALSE)</f>
        <v>0</v>
      </c>
      <c r="E66" s="326">
        <f t="shared" si="35"/>
        <v>0</v>
      </c>
      <c r="F66" s="80">
        <f t="shared" si="28"/>
        <v>0</v>
      </c>
      <c r="G66" s="167">
        <f t="shared" si="25"/>
        <v>0</v>
      </c>
      <c r="H66" s="167">
        <f t="shared" si="31"/>
        <v>0</v>
      </c>
      <c r="I66" s="167"/>
      <c r="J66" s="167">
        <f>+VLOOKUP($C66,'Master Data'!$B$433:$N$449,4,FALSE)</f>
        <v>0</v>
      </c>
      <c r="K66" s="167">
        <f>+VLOOKUP($C66,'Master Data'!$B$433:$N$449,5,FALSE)</f>
        <v>0</v>
      </c>
      <c r="L66" s="167"/>
      <c r="M66" s="167">
        <f>+VLOOKUP($C66,'Master Data'!$B$433:$N$449,7,FALSE)</f>
        <v>0</v>
      </c>
      <c r="N66" s="167">
        <f>+VLOOKUP($C66,'Master Data'!$B$433:$N$449,8,FALSE)</f>
        <v>0</v>
      </c>
      <c r="O66" s="167"/>
      <c r="P66" s="167">
        <f>+VLOOKUP($C66,'Master Data'!$B$433:$N$449,10,FALSE)</f>
        <v>0</v>
      </c>
      <c r="Q66" s="167">
        <f>+VLOOKUP($C66,'Master Data'!$B$433:$N$449,11,FALSE)</f>
        <v>4</v>
      </c>
      <c r="R66" s="167"/>
      <c r="S66" s="167">
        <f>+VLOOKUP($C66,'Master Data'!$B$433:$N$449,13,FALSE)</f>
        <v>4</v>
      </c>
      <c r="T66" s="167">
        <f t="shared" si="32"/>
        <v>0</v>
      </c>
      <c r="U66" s="167">
        <f t="shared" si="26"/>
        <v>0</v>
      </c>
      <c r="V66" s="167">
        <f t="shared" si="33"/>
        <v>0</v>
      </c>
      <c r="W66" s="169">
        <f t="shared" si="34"/>
        <v>0</v>
      </c>
    </row>
    <row r="67" spans="1:23" ht="20" customHeight="1">
      <c r="A67" s="161">
        <f t="shared" si="27"/>
        <v>46</v>
      </c>
      <c r="B67" s="88" t="s">
        <v>90</v>
      </c>
      <c r="C67" s="88" t="s">
        <v>404</v>
      </c>
      <c r="D67" s="167">
        <f>+VLOOKUP($B67,'Master Data'!$B$453:$R$543,MATCH('Master Data'!$C67,'Master Data'!$B$453:$R$453,0),FALSE)</f>
        <v>380</v>
      </c>
      <c r="E67" s="326">
        <f t="shared" si="35"/>
        <v>19</v>
      </c>
      <c r="F67" s="80">
        <f t="shared" si="28"/>
        <v>0</v>
      </c>
      <c r="G67" s="167">
        <f t="shared" si="25"/>
        <v>399</v>
      </c>
      <c r="H67" s="167">
        <f t="shared" si="31"/>
        <v>0</v>
      </c>
      <c r="I67" s="167"/>
      <c r="J67" s="167">
        <f>+VLOOKUP($C67,'Master Data'!$B$433:$N$449,4,FALSE)</f>
        <v>0</v>
      </c>
      <c r="K67" s="167">
        <f>+VLOOKUP($C67,'Master Data'!$B$433:$N$449,5,FALSE)</f>
        <v>0</v>
      </c>
      <c r="L67" s="167"/>
      <c r="M67" s="167">
        <f>+VLOOKUP($C67,'Master Data'!$B$433:$N$449,7,FALSE)</f>
        <v>0</v>
      </c>
      <c r="N67" s="167">
        <f>+VLOOKUP($C67,'Master Data'!$B$433:$N$449,8,FALSE)</f>
        <v>0</v>
      </c>
      <c r="O67" s="167"/>
      <c r="P67" s="167">
        <f>+VLOOKUP($C67,'Master Data'!$B$433:$N$449,10,FALSE)</f>
        <v>0</v>
      </c>
      <c r="Q67" s="167">
        <f>+VLOOKUP($C67,'Master Data'!$B$433:$N$449,11,FALSE)</f>
        <v>4</v>
      </c>
      <c r="R67" s="167"/>
      <c r="S67" s="167">
        <f>+VLOOKUP($C67,'Master Data'!$B$433:$N$449,13,FALSE)</f>
        <v>4</v>
      </c>
      <c r="T67" s="167">
        <f t="shared" si="32"/>
        <v>384</v>
      </c>
      <c r="U67" s="167">
        <f t="shared" si="26"/>
        <v>403</v>
      </c>
      <c r="V67" s="167">
        <f t="shared" si="33"/>
        <v>0.38400000000000001</v>
      </c>
      <c r="W67" s="169">
        <f t="shared" si="34"/>
        <v>0.40300000000000002</v>
      </c>
    </row>
    <row r="68" spans="1:23" ht="20" customHeight="1">
      <c r="A68" s="161">
        <f t="shared" si="27"/>
        <v>47</v>
      </c>
      <c r="B68" s="348" t="s">
        <v>41</v>
      </c>
      <c r="C68" s="87" t="s">
        <v>78</v>
      </c>
      <c r="D68" s="167">
        <f>+VLOOKUP($B68,'Master Data'!$B$453:$R$543,MATCH('Master Data'!$C68,'Master Data'!$B$453:$R$453,0),FALSE)</f>
        <v>128</v>
      </c>
      <c r="E68" s="168">
        <v>0</v>
      </c>
      <c r="F68" s="80">
        <f t="shared" si="28"/>
        <v>0</v>
      </c>
      <c r="G68" s="167">
        <f t="shared" si="25"/>
        <v>128</v>
      </c>
      <c r="H68" s="167">
        <f t="shared" si="31"/>
        <v>0</v>
      </c>
      <c r="I68" s="167"/>
      <c r="J68" s="167">
        <f>+VLOOKUP($C68,'Master Data'!$B$433:$N$449,4,FALSE)</f>
        <v>0</v>
      </c>
      <c r="K68" s="167">
        <f>+VLOOKUP($C68,'Master Data'!$B$433:$N$449,5,FALSE)</f>
        <v>0</v>
      </c>
      <c r="L68" s="167"/>
      <c r="M68" s="167">
        <f>+VLOOKUP($C68,'Master Data'!$B$433:$N$449,7,FALSE)</f>
        <v>0</v>
      </c>
      <c r="N68" s="167">
        <f>+VLOOKUP($C68,'Master Data'!$B$433:$N$449,8,FALSE)</f>
        <v>0</v>
      </c>
      <c r="O68" s="167"/>
      <c r="P68" s="167">
        <f>+VLOOKUP($C68,'Master Data'!$B$433:$N$449,10,FALSE)</f>
        <v>0</v>
      </c>
      <c r="Q68" s="167">
        <f>+VLOOKUP($C68,'Master Data'!$B$433:$N$449,11,FALSE)</f>
        <v>4</v>
      </c>
      <c r="R68" s="167"/>
      <c r="S68" s="167">
        <f>+VLOOKUP($C68,'Master Data'!$B$433:$N$449,13,FALSE)</f>
        <v>4</v>
      </c>
      <c r="T68" s="167">
        <f t="shared" si="32"/>
        <v>132</v>
      </c>
      <c r="U68" s="167">
        <f t="shared" si="26"/>
        <v>132</v>
      </c>
      <c r="V68" s="167">
        <f t="shared" si="33"/>
        <v>0.13200000000000001</v>
      </c>
      <c r="W68" s="169">
        <f t="shared" si="34"/>
        <v>0.13200000000000001</v>
      </c>
    </row>
    <row r="69" spans="1:23" ht="20" customHeight="1">
      <c r="A69" s="161">
        <f t="shared" si="27"/>
        <v>48</v>
      </c>
      <c r="B69" s="182" t="s">
        <v>14</v>
      </c>
      <c r="C69" s="88" t="s">
        <v>78</v>
      </c>
      <c r="D69" s="167">
        <f>+VLOOKUP($B69,'Master Data'!$B$453:$R$543,MATCH('Master Data'!$C69,'Master Data'!$B$453:$R$453,0),FALSE)</f>
        <v>2523.8095238095239</v>
      </c>
      <c r="E69" s="168">
        <v>0</v>
      </c>
      <c r="F69" s="80">
        <f t="shared" si="28"/>
        <v>0</v>
      </c>
      <c r="G69" s="167">
        <f t="shared" si="25"/>
        <v>2523.8095238095239</v>
      </c>
      <c r="H69" s="167">
        <f t="shared" si="31"/>
        <v>0</v>
      </c>
      <c r="I69" s="167"/>
      <c r="J69" s="167">
        <f>+VLOOKUP($C69,'Master Data'!$B$433:$N$449,4,FALSE)</f>
        <v>0</v>
      </c>
      <c r="K69" s="167">
        <f>+VLOOKUP($C69,'Master Data'!$B$433:$N$449,5,FALSE)</f>
        <v>0</v>
      </c>
      <c r="L69" s="167"/>
      <c r="M69" s="167">
        <f>+VLOOKUP($C69,'Master Data'!$B$433:$N$449,7,FALSE)</f>
        <v>0</v>
      </c>
      <c r="N69" s="167">
        <f>+VLOOKUP($C69,'Master Data'!$B$433:$N$449,8,FALSE)</f>
        <v>0</v>
      </c>
      <c r="O69" s="167"/>
      <c r="P69" s="167">
        <f>+VLOOKUP($C69,'Master Data'!$B$433:$N$449,10,FALSE)</f>
        <v>0</v>
      </c>
      <c r="Q69" s="167">
        <f>+VLOOKUP($C69,'Master Data'!$B$433:$N$449,11,FALSE)</f>
        <v>4</v>
      </c>
      <c r="R69" s="167"/>
      <c r="S69" s="167">
        <f>+VLOOKUP($C69,'Master Data'!$B$433:$N$449,13,FALSE)</f>
        <v>4</v>
      </c>
      <c r="T69" s="167">
        <f t="shared" si="32"/>
        <v>2527.8095238095239</v>
      </c>
      <c r="U69" s="167">
        <f t="shared" si="26"/>
        <v>2527.8095238095239</v>
      </c>
      <c r="V69" s="167">
        <f t="shared" si="33"/>
        <v>2.5278095238095237</v>
      </c>
      <c r="W69" s="169">
        <f t="shared" si="34"/>
        <v>2.5278095238095237</v>
      </c>
    </row>
    <row r="70" spans="1:23" ht="20" customHeight="1">
      <c r="A70" s="161">
        <f t="shared" si="27"/>
        <v>49</v>
      </c>
      <c r="B70" s="88" t="s">
        <v>12</v>
      </c>
      <c r="C70" s="88" t="s">
        <v>364</v>
      </c>
      <c r="D70" s="167">
        <f>+VLOOKUP($B70,'Master Data'!$B$453:$R$543,MATCH('Master Data'!$C70,'Master Data'!$B$453:$R$453,0),FALSE)</f>
        <v>900</v>
      </c>
      <c r="E70" s="326">
        <f t="shared" ref="E70:E94" si="36">INDEX($AG$434:$AH$448,MATCH($C70,$AG$434:$AG$448,0),2)*D70</f>
        <v>45</v>
      </c>
      <c r="F70" s="80">
        <f t="shared" si="28"/>
        <v>0</v>
      </c>
      <c r="G70" s="167">
        <f t="shared" si="25"/>
        <v>945</v>
      </c>
      <c r="H70" s="167">
        <f t="shared" si="31"/>
        <v>0</v>
      </c>
      <c r="I70" s="167"/>
      <c r="J70" s="167">
        <f>+VLOOKUP($C70,'Master Data'!$B$433:$N$449,4,FALSE)</f>
        <v>0</v>
      </c>
      <c r="K70" s="167">
        <f>+VLOOKUP($C70,'Master Data'!$B$433:$N$449,5,FALSE)</f>
        <v>0</v>
      </c>
      <c r="L70" s="167"/>
      <c r="M70" s="167">
        <f>+VLOOKUP($C70,'Master Data'!$B$433:$N$449,7,FALSE)</f>
        <v>0</v>
      </c>
      <c r="N70" s="167">
        <f>+VLOOKUP($C70,'Master Data'!$B$433:$N$449,8,FALSE)</f>
        <v>33</v>
      </c>
      <c r="O70" s="167"/>
      <c r="P70" s="167">
        <f>+VLOOKUP($C70,'Master Data'!$B$433:$N$449,10,FALSE)</f>
        <v>0</v>
      </c>
      <c r="Q70" s="167">
        <f>+VLOOKUP($C70,'Master Data'!$B$433:$N$449,11,FALSE)</f>
        <v>8</v>
      </c>
      <c r="R70" s="167"/>
      <c r="S70" s="167">
        <f>+VLOOKUP($C70,'Master Data'!$B$433:$N$449,13,FALSE)</f>
        <v>0</v>
      </c>
      <c r="T70" s="167">
        <f t="shared" si="32"/>
        <v>941</v>
      </c>
      <c r="U70" s="167">
        <f t="shared" si="26"/>
        <v>945</v>
      </c>
      <c r="V70" s="167">
        <f t="shared" si="33"/>
        <v>0.94099999999999995</v>
      </c>
      <c r="W70" s="169">
        <f t="shared" si="34"/>
        <v>0.94499999999999995</v>
      </c>
    </row>
    <row r="71" spans="1:23" ht="20" customHeight="1">
      <c r="A71" s="161">
        <f t="shared" si="27"/>
        <v>50</v>
      </c>
      <c r="B71" s="87" t="s">
        <v>5</v>
      </c>
      <c r="C71" s="87" t="s">
        <v>83</v>
      </c>
      <c r="D71" s="167">
        <f>+VLOOKUP($B71,'Master Data'!$B$453:$R$543,MATCH('Master Data'!$C71,'Master Data'!$B$453:$R$453,0),FALSE)</f>
        <v>965</v>
      </c>
      <c r="E71" s="326">
        <f t="shared" si="36"/>
        <v>48.25</v>
      </c>
      <c r="F71" s="80">
        <f t="shared" si="28"/>
        <v>0</v>
      </c>
      <c r="G71" s="167">
        <f t="shared" si="25"/>
        <v>1013.25</v>
      </c>
      <c r="H71" s="167">
        <f t="shared" si="31"/>
        <v>0</v>
      </c>
      <c r="I71" s="167"/>
      <c r="J71" s="167">
        <f>+VLOOKUP($C71,'Master Data'!$B$433:$N$449,4,FALSE)</f>
        <v>0</v>
      </c>
      <c r="K71" s="167">
        <f>+VLOOKUP($C71,'Master Data'!$B$433:$N$449,5,FALSE)</f>
        <v>0</v>
      </c>
      <c r="L71" s="167"/>
      <c r="M71" s="167">
        <f>+VLOOKUP($C71,'Master Data'!$B$433:$N$449,7,FALSE)</f>
        <v>0</v>
      </c>
      <c r="N71" s="167">
        <f>+VLOOKUP($C71,'Master Data'!$B$433:$N$449,8,FALSE)</f>
        <v>33</v>
      </c>
      <c r="O71" s="167"/>
      <c r="P71" s="167">
        <f>+VLOOKUP($C71,'Master Data'!$B$433:$N$449,10,FALSE)</f>
        <v>33</v>
      </c>
      <c r="Q71" s="167">
        <f>+VLOOKUP($C71,'Master Data'!$B$433:$N$449,11,FALSE)</f>
        <v>8</v>
      </c>
      <c r="R71" s="167"/>
      <c r="S71" s="167">
        <f>+VLOOKUP($C71,'Master Data'!$B$433:$N$449,13,FALSE)</f>
        <v>8</v>
      </c>
      <c r="T71" s="167">
        <f t="shared" si="32"/>
        <v>1006</v>
      </c>
      <c r="U71" s="167">
        <f t="shared" si="26"/>
        <v>1054.25</v>
      </c>
      <c r="V71" s="167">
        <f t="shared" si="33"/>
        <v>1.006</v>
      </c>
      <c r="W71" s="169">
        <f t="shared" si="34"/>
        <v>1.0542499999999999</v>
      </c>
    </row>
    <row r="72" spans="1:23" ht="20" customHeight="1">
      <c r="A72" s="161">
        <f t="shared" si="27"/>
        <v>51</v>
      </c>
      <c r="B72" s="87" t="s">
        <v>91</v>
      </c>
      <c r="C72" s="87" t="s">
        <v>78</v>
      </c>
      <c r="D72" s="167">
        <f>+VLOOKUP($B72,'Master Data'!$B$453:$R$543,MATCH('Master Data'!$C72,'Master Data'!$B$453:$R$453,0),FALSE)</f>
        <v>228.57142857142856</v>
      </c>
      <c r="E72" s="326">
        <f t="shared" si="36"/>
        <v>11.428571428571429</v>
      </c>
      <c r="F72" s="80">
        <f t="shared" si="28"/>
        <v>0</v>
      </c>
      <c r="G72" s="167">
        <f t="shared" si="25"/>
        <v>239.99999999999997</v>
      </c>
      <c r="H72" s="167">
        <f t="shared" si="31"/>
        <v>0</v>
      </c>
      <c r="I72" s="167"/>
      <c r="J72" s="167">
        <f>+VLOOKUP($C72,'Master Data'!$B$433:$N$449,4,FALSE)</f>
        <v>0</v>
      </c>
      <c r="K72" s="167">
        <f>+VLOOKUP($C72,'Master Data'!$B$433:$N$449,5,FALSE)</f>
        <v>0</v>
      </c>
      <c r="L72" s="167"/>
      <c r="M72" s="167">
        <f>+VLOOKUP($C72,'Master Data'!$B$433:$N$449,7,FALSE)</f>
        <v>0</v>
      </c>
      <c r="N72" s="167">
        <f>+VLOOKUP($C72,'Master Data'!$B$433:$N$449,8,FALSE)</f>
        <v>0</v>
      </c>
      <c r="O72" s="167"/>
      <c r="P72" s="167">
        <f>+VLOOKUP($C72,'Master Data'!$B$433:$N$449,10,FALSE)</f>
        <v>0</v>
      </c>
      <c r="Q72" s="167">
        <f>+VLOOKUP($C72,'Master Data'!$B$433:$N$449,11,FALSE)</f>
        <v>4</v>
      </c>
      <c r="R72" s="167"/>
      <c r="S72" s="167">
        <f>+VLOOKUP($C72,'Master Data'!$B$433:$N$449,13,FALSE)</f>
        <v>4</v>
      </c>
      <c r="T72" s="167">
        <f t="shared" si="32"/>
        <v>232.57142857142856</v>
      </c>
      <c r="U72" s="167">
        <f t="shared" si="26"/>
        <v>243.99999999999997</v>
      </c>
      <c r="V72" s="167">
        <f t="shared" si="33"/>
        <v>0.23257142857142857</v>
      </c>
      <c r="W72" s="169">
        <f t="shared" si="34"/>
        <v>0.24399999999999997</v>
      </c>
    </row>
    <row r="73" spans="1:23" ht="20" customHeight="1">
      <c r="A73" s="161">
        <f t="shared" si="27"/>
        <v>52</v>
      </c>
      <c r="B73" s="88" t="s">
        <v>37</v>
      </c>
      <c r="C73" s="88" t="s">
        <v>404</v>
      </c>
      <c r="D73" s="167">
        <f>+VLOOKUP($B73,'Master Data'!$B$453:$R$543,MATCH('Master Data'!$C73,'Master Data'!$B$453:$R$453,0),FALSE)</f>
        <v>600</v>
      </c>
      <c r="E73" s="326">
        <f t="shared" si="36"/>
        <v>30</v>
      </c>
      <c r="F73" s="80">
        <f t="shared" si="28"/>
        <v>0</v>
      </c>
      <c r="G73" s="167">
        <f t="shared" si="25"/>
        <v>630</v>
      </c>
      <c r="H73" s="167">
        <f t="shared" si="31"/>
        <v>0</v>
      </c>
      <c r="I73" s="167"/>
      <c r="J73" s="167">
        <f>+VLOOKUP($C73,'Master Data'!$B$433:$N$449,4,FALSE)</f>
        <v>0</v>
      </c>
      <c r="K73" s="167">
        <f>+VLOOKUP($C73,'Master Data'!$B$433:$N$449,5,FALSE)</f>
        <v>0</v>
      </c>
      <c r="L73" s="167"/>
      <c r="M73" s="167">
        <f>+VLOOKUP($C73,'Master Data'!$B$433:$N$449,7,FALSE)</f>
        <v>0</v>
      </c>
      <c r="N73" s="167">
        <f>+VLOOKUP($C73,'Master Data'!$B$433:$N$449,8,FALSE)</f>
        <v>0</v>
      </c>
      <c r="O73" s="167"/>
      <c r="P73" s="167">
        <f>+VLOOKUP($C73,'Master Data'!$B$433:$N$449,10,FALSE)</f>
        <v>0</v>
      </c>
      <c r="Q73" s="167">
        <f>+VLOOKUP($C73,'Master Data'!$B$433:$N$449,11,FALSE)</f>
        <v>4</v>
      </c>
      <c r="R73" s="167"/>
      <c r="S73" s="167">
        <f>+VLOOKUP($C73,'Master Data'!$B$433:$N$449,13,FALSE)</f>
        <v>4</v>
      </c>
      <c r="T73" s="167">
        <f t="shared" si="32"/>
        <v>604</v>
      </c>
      <c r="U73" s="167">
        <f t="shared" si="26"/>
        <v>634</v>
      </c>
      <c r="V73" s="167">
        <f t="shared" si="33"/>
        <v>0.60399999999999998</v>
      </c>
      <c r="W73" s="169">
        <f t="shared" si="34"/>
        <v>0.63400000000000001</v>
      </c>
    </row>
    <row r="74" spans="1:23" ht="20" customHeight="1">
      <c r="A74" s="161">
        <f t="shared" si="27"/>
        <v>53</v>
      </c>
      <c r="B74" s="88" t="s">
        <v>44</v>
      </c>
      <c r="C74" s="88" t="s">
        <v>78</v>
      </c>
      <c r="D74" s="167">
        <f>+VLOOKUP($B74,'Master Data'!$B$453:$R$543,MATCH('Master Data'!$C74,'Master Data'!$B$453:$R$453,0),FALSE)</f>
        <v>128</v>
      </c>
      <c r="E74" s="326">
        <f t="shared" si="36"/>
        <v>6.4</v>
      </c>
      <c r="F74" s="80">
        <f t="shared" si="28"/>
        <v>0</v>
      </c>
      <c r="G74" s="167">
        <f t="shared" si="25"/>
        <v>134.4</v>
      </c>
      <c r="H74" s="167">
        <f t="shared" si="31"/>
        <v>0</v>
      </c>
      <c r="I74" s="167"/>
      <c r="J74" s="167">
        <f>+VLOOKUP($C74,'Master Data'!$B$433:$N$449,4,FALSE)</f>
        <v>0</v>
      </c>
      <c r="K74" s="167">
        <f>+VLOOKUP($C74,'Master Data'!$B$433:$N$449,5,FALSE)</f>
        <v>0</v>
      </c>
      <c r="L74" s="167"/>
      <c r="M74" s="167">
        <f>+VLOOKUP($C74,'Master Data'!$B$433:$N$449,7,FALSE)</f>
        <v>0</v>
      </c>
      <c r="N74" s="167">
        <f>+VLOOKUP($C74,'Master Data'!$B$433:$N$449,8,FALSE)</f>
        <v>0</v>
      </c>
      <c r="O74" s="167"/>
      <c r="P74" s="167">
        <f>+VLOOKUP($C74,'Master Data'!$B$433:$N$449,10,FALSE)</f>
        <v>0</v>
      </c>
      <c r="Q74" s="167">
        <f>+VLOOKUP($C74,'Master Data'!$B$433:$N$449,11,FALSE)</f>
        <v>4</v>
      </c>
      <c r="R74" s="167"/>
      <c r="S74" s="167">
        <f>+VLOOKUP($C74,'Master Data'!$B$433:$N$449,13,FALSE)</f>
        <v>4</v>
      </c>
      <c r="T74" s="167">
        <f t="shared" si="32"/>
        <v>132</v>
      </c>
      <c r="U74" s="167">
        <f t="shared" si="26"/>
        <v>138.4</v>
      </c>
      <c r="V74" s="167">
        <f t="shared" si="33"/>
        <v>0.13200000000000001</v>
      </c>
      <c r="W74" s="169">
        <f t="shared" si="34"/>
        <v>0.1384</v>
      </c>
    </row>
    <row r="75" spans="1:23" ht="20" customHeight="1">
      <c r="A75" s="161">
        <f t="shared" si="27"/>
        <v>54</v>
      </c>
      <c r="B75" s="88" t="s">
        <v>54</v>
      </c>
      <c r="C75" s="88" t="s">
        <v>78</v>
      </c>
      <c r="D75" s="167">
        <f>+VLOOKUP($B75,'Master Data'!$B$453:$R$543,MATCH('Master Data'!$C75,'Master Data'!$B$453:$R$453,0),FALSE)</f>
        <v>129.52380952380952</v>
      </c>
      <c r="E75" s="326">
        <f t="shared" si="36"/>
        <v>6.4761904761904763</v>
      </c>
      <c r="F75" s="80">
        <f t="shared" si="28"/>
        <v>0</v>
      </c>
      <c r="G75" s="167">
        <f t="shared" si="25"/>
        <v>136</v>
      </c>
      <c r="H75" s="167">
        <f t="shared" si="31"/>
        <v>0</v>
      </c>
      <c r="I75" s="167"/>
      <c r="J75" s="167">
        <f>+VLOOKUP($C75,'Master Data'!$B$433:$N$449,4,FALSE)</f>
        <v>0</v>
      </c>
      <c r="K75" s="167">
        <f>+VLOOKUP($C75,'Master Data'!$B$433:$N$449,5,FALSE)</f>
        <v>0</v>
      </c>
      <c r="L75" s="167"/>
      <c r="M75" s="167">
        <f>+VLOOKUP($C75,'Master Data'!$B$433:$N$449,7,FALSE)</f>
        <v>0</v>
      </c>
      <c r="N75" s="167">
        <f>+VLOOKUP($C75,'Master Data'!$B$433:$N$449,8,FALSE)</f>
        <v>0</v>
      </c>
      <c r="O75" s="167"/>
      <c r="P75" s="167">
        <f>+VLOOKUP($C75,'Master Data'!$B$433:$N$449,10,FALSE)</f>
        <v>0</v>
      </c>
      <c r="Q75" s="167">
        <f>+VLOOKUP($C75,'Master Data'!$B$433:$N$449,11,FALSE)</f>
        <v>4</v>
      </c>
      <c r="R75" s="167"/>
      <c r="S75" s="167">
        <f>+VLOOKUP($C75,'Master Data'!$B$433:$N$449,13,FALSE)</f>
        <v>4</v>
      </c>
      <c r="T75" s="167">
        <f t="shared" si="32"/>
        <v>133.52380952380952</v>
      </c>
      <c r="U75" s="167">
        <f t="shared" si="26"/>
        <v>140</v>
      </c>
      <c r="V75" s="167">
        <f t="shared" si="33"/>
        <v>0.13352380952380952</v>
      </c>
      <c r="W75" s="169">
        <f t="shared" si="34"/>
        <v>0.14000000000000001</v>
      </c>
    </row>
    <row r="76" spans="1:23" ht="20" customHeight="1">
      <c r="A76" s="161">
        <f t="shared" si="27"/>
        <v>55</v>
      </c>
      <c r="B76" s="237" t="s">
        <v>64</v>
      </c>
      <c r="C76" s="88" t="s">
        <v>370</v>
      </c>
      <c r="D76" s="167">
        <f>+VLOOKUP($B76,'Master Data'!$B$453:$R$543,MATCH('Master Data'!$C76,'Master Data'!$B$453:$R$453,0),FALSE)</f>
        <v>600</v>
      </c>
      <c r="E76" s="326">
        <f t="shared" si="36"/>
        <v>30</v>
      </c>
      <c r="F76" s="80">
        <f t="shared" si="28"/>
        <v>0</v>
      </c>
      <c r="G76" s="167">
        <f t="shared" si="25"/>
        <v>630</v>
      </c>
      <c r="H76" s="167">
        <f t="shared" si="31"/>
        <v>0</v>
      </c>
      <c r="I76" s="167"/>
      <c r="J76" s="167">
        <f>+VLOOKUP($C76,'Master Data'!$B$433:$N$449,4,FALSE)</f>
        <v>0</v>
      </c>
      <c r="K76" s="167">
        <f>+VLOOKUP($C76,'Master Data'!$B$433:$N$449,5,FALSE)</f>
        <v>0</v>
      </c>
      <c r="L76" s="167"/>
      <c r="M76" s="167">
        <f>+VLOOKUP($C76,'Master Data'!$B$433:$N$449,7,FALSE)</f>
        <v>0</v>
      </c>
      <c r="N76" s="167">
        <f>+VLOOKUP($C76,'Master Data'!$B$433:$N$449,8,FALSE)</f>
        <v>9</v>
      </c>
      <c r="O76" s="167"/>
      <c r="P76" s="167">
        <f>+VLOOKUP($C76,'Master Data'!$B$433:$N$449,10,FALSE)</f>
        <v>9</v>
      </c>
      <c r="Q76" s="167">
        <f>+VLOOKUP($C76,'Master Data'!$B$433:$N$449,11,FALSE)</f>
        <v>2</v>
      </c>
      <c r="R76" s="167"/>
      <c r="S76" s="167">
        <f>+VLOOKUP($C76,'Master Data'!$B$433:$N$449,13,FALSE)</f>
        <v>2</v>
      </c>
      <c r="T76" s="167">
        <f t="shared" si="32"/>
        <v>611</v>
      </c>
      <c r="U76" s="167">
        <f t="shared" si="26"/>
        <v>641</v>
      </c>
      <c r="V76" s="167">
        <f t="shared" si="33"/>
        <v>0.61099999999999999</v>
      </c>
      <c r="W76" s="169">
        <f t="shared" si="34"/>
        <v>0.64100000000000001</v>
      </c>
    </row>
    <row r="77" spans="1:23" ht="20" customHeight="1">
      <c r="A77" s="161">
        <f t="shared" si="27"/>
        <v>56</v>
      </c>
      <c r="B77" s="237" t="s">
        <v>73</v>
      </c>
      <c r="C77" s="88" t="s">
        <v>370</v>
      </c>
      <c r="D77" s="167">
        <f>+VLOOKUP($B77,'Master Data'!$B$453:$R$543,MATCH('Master Data'!$C77,'Master Data'!$B$453:$R$453,0),FALSE)</f>
        <v>275</v>
      </c>
      <c r="E77" s="326">
        <f t="shared" si="36"/>
        <v>13.75</v>
      </c>
      <c r="F77" s="80">
        <f t="shared" si="28"/>
        <v>0</v>
      </c>
      <c r="G77" s="167">
        <f t="shared" si="25"/>
        <v>288.75</v>
      </c>
      <c r="H77" s="167">
        <f t="shared" si="31"/>
        <v>0</v>
      </c>
      <c r="I77" s="167"/>
      <c r="J77" s="167">
        <f>+VLOOKUP($C77,'Master Data'!$B$433:$N$449,4,FALSE)</f>
        <v>0</v>
      </c>
      <c r="K77" s="167">
        <f>+VLOOKUP($C77,'Master Data'!$B$433:$N$449,5,FALSE)</f>
        <v>0</v>
      </c>
      <c r="L77" s="167"/>
      <c r="M77" s="167">
        <f>+VLOOKUP($C77,'Master Data'!$B$433:$N$449,7,FALSE)</f>
        <v>0</v>
      </c>
      <c r="N77" s="167">
        <f>+VLOOKUP($C77,'Master Data'!$B$433:$N$449,8,FALSE)</f>
        <v>9</v>
      </c>
      <c r="O77" s="167"/>
      <c r="P77" s="167">
        <f>+VLOOKUP($C77,'Master Data'!$B$433:$N$449,10,FALSE)</f>
        <v>9</v>
      </c>
      <c r="Q77" s="167">
        <f>+VLOOKUP($C77,'Master Data'!$B$433:$N$449,11,FALSE)</f>
        <v>2</v>
      </c>
      <c r="R77" s="167"/>
      <c r="S77" s="167">
        <f>+VLOOKUP($C77,'Master Data'!$B$433:$N$449,13,FALSE)</f>
        <v>2</v>
      </c>
      <c r="T77" s="167">
        <f t="shared" si="32"/>
        <v>286</v>
      </c>
      <c r="U77" s="167">
        <f t="shared" si="26"/>
        <v>299.75</v>
      </c>
      <c r="V77" s="167">
        <f t="shared" si="33"/>
        <v>0.28599999999999998</v>
      </c>
      <c r="W77" s="169">
        <f t="shared" si="34"/>
        <v>0.29975000000000002</v>
      </c>
    </row>
    <row r="78" spans="1:23" ht="20" customHeight="1">
      <c r="A78" s="161">
        <f t="shared" si="27"/>
        <v>57</v>
      </c>
      <c r="B78" s="237" t="s">
        <v>161</v>
      </c>
      <c r="C78" s="88" t="s">
        <v>370</v>
      </c>
      <c r="D78" s="167">
        <f>+VLOOKUP($B78,'Master Data'!$B$453:$R$543,MATCH('Master Data'!$C78,'Master Data'!$B$453:$R$453,0),FALSE)</f>
        <v>600</v>
      </c>
      <c r="E78" s="326">
        <f t="shared" si="36"/>
        <v>30</v>
      </c>
      <c r="F78" s="80">
        <f t="shared" si="28"/>
        <v>0</v>
      </c>
      <c r="G78" s="167">
        <f t="shared" si="25"/>
        <v>630</v>
      </c>
      <c r="H78" s="167">
        <f t="shared" si="31"/>
        <v>0</v>
      </c>
      <c r="I78" s="167"/>
      <c r="J78" s="167">
        <f>+VLOOKUP($C78,'Master Data'!$B$433:$N$449,4,FALSE)</f>
        <v>0</v>
      </c>
      <c r="K78" s="167">
        <f>+VLOOKUP($C78,'Master Data'!$B$433:$N$449,5,FALSE)</f>
        <v>0</v>
      </c>
      <c r="L78" s="167"/>
      <c r="M78" s="167">
        <f>+VLOOKUP($C78,'Master Data'!$B$433:$N$449,7,FALSE)</f>
        <v>0</v>
      </c>
      <c r="N78" s="167">
        <f>+VLOOKUP($C78,'Master Data'!$B$433:$N$449,8,FALSE)</f>
        <v>9</v>
      </c>
      <c r="O78" s="167"/>
      <c r="P78" s="167">
        <f>+VLOOKUP($C78,'Master Data'!$B$433:$N$449,10,FALSE)</f>
        <v>9</v>
      </c>
      <c r="Q78" s="167">
        <f>+VLOOKUP($C78,'Master Data'!$B$433:$N$449,11,FALSE)</f>
        <v>2</v>
      </c>
      <c r="R78" s="167"/>
      <c r="S78" s="167">
        <f>+VLOOKUP($C78,'Master Data'!$B$433:$N$449,13,FALSE)</f>
        <v>2</v>
      </c>
      <c r="T78" s="167">
        <f t="shared" si="32"/>
        <v>611</v>
      </c>
      <c r="U78" s="167">
        <f t="shared" si="26"/>
        <v>641</v>
      </c>
      <c r="V78" s="167">
        <f t="shared" si="33"/>
        <v>0.61099999999999999</v>
      </c>
      <c r="W78" s="169">
        <f t="shared" si="34"/>
        <v>0.64100000000000001</v>
      </c>
    </row>
    <row r="79" spans="1:23" ht="20" customHeight="1">
      <c r="A79" s="161">
        <f t="shared" si="27"/>
        <v>58</v>
      </c>
      <c r="B79" s="88" t="s">
        <v>179</v>
      </c>
      <c r="C79" s="88" t="s">
        <v>370</v>
      </c>
      <c r="D79" s="167">
        <f>+VLOOKUP($B79,'Master Data'!$B$453:$R$543,MATCH('Master Data'!$C79,'Master Data'!$B$453:$R$453,0),FALSE)</f>
        <v>270</v>
      </c>
      <c r="E79" s="326">
        <f t="shared" si="36"/>
        <v>13.5</v>
      </c>
      <c r="F79" s="80">
        <f t="shared" si="28"/>
        <v>0</v>
      </c>
      <c r="G79" s="167">
        <f t="shared" si="25"/>
        <v>283.5</v>
      </c>
      <c r="H79" s="167">
        <f t="shared" si="31"/>
        <v>0</v>
      </c>
      <c r="I79" s="167"/>
      <c r="J79" s="167">
        <f>+VLOOKUP($C79,'Master Data'!$B$433:$N$449,4,FALSE)</f>
        <v>0</v>
      </c>
      <c r="K79" s="167">
        <f>+VLOOKUP($C79,'Master Data'!$B$433:$N$449,5,FALSE)</f>
        <v>0</v>
      </c>
      <c r="L79" s="167"/>
      <c r="M79" s="167">
        <f>+VLOOKUP($C79,'Master Data'!$B$433:$N$449,7,FALSE)</f>
        <v>0</v>
      </c>
      <c r="N79" s="167">
        <f>+VLOOKUP($C79,'Master Data'!$B$433:$N$449,8,FALSE)</f>
        <v>9</v>
      </c>
      <c r="O79" s="167"/>
      <c r="P79" s="167">
        <f>+VLOOKUP($C79,'Master Data'!$B$433:$N$449,10,FALSE)</f>
        <v>9</v>
      </c>
      <c r="Q79" s="167">
        <f>+VLOOKUP($C79,'Master Data'!$B$433:$N$449,11,FALSE)</f>
        <v>2</v>
      </c>
      <c r="R79" s="167"/>
      <c r="S79" s="167">
        <f>+VLOOKUP($C79,'Master Data'!$B$433:$N$449,13,FALSE)</f>
        <v>2</v>
      </c>
      <c r="T79" s="167">
        <f t="shared" si="32"/>
        <v>281</v>
      </c>
      <c r="U79" s="167">
        <f t="shared" si="26"/>
        <v>294.5</v>
      </c>
      <c r="V79" s="167">
        <f t="shared" si="33"/>
        <v>0.28100000000000003</v>
      </c>
      <c r="W79" s="169">
        <f t="shared" si="34"/>
        <v>0.29449999999999998</v>
      </c>
    </row>
    <row r="80" spans="1:23" ht="20" customHeight="1">
      <c r="A80" s="161">
        <f t="shared" si="27"/>
        <v>59</v>
      </c>
      <c r="B80" s="88" t="s">
        <v>183</v>
      </c>
      <c r="C80" s="88" t="s">
        <v>370</v>
      </c>
      <c r="D80" s="167">
        <f>+VLOOKUP($B80,'Master Data'!$B$453:$R$543,MATCH('Master Data'!$C80,'Master Data'!$B$453:$R$453,0),FALSE)</f>
        <v>270</v>
      </c>
      <c r="E80" s="326">
        <f t="shared" si="36"/>
        <v>13.5</v>
      </c>
      <c r="F80" s="80">
        <f t="shared" si="28"/>
        <v>0</v>
      </c>
      <c r="G80" s="167">
        <f t="shared" si="25"/>
        <v>283.5</v>
      </c>
      <c r="H80" s="167">
        <f t="shared" si="31"/>
        <v>0</v>
      </c>
      <c r="I80" s="167"/>
      <c r="J80" s="167">
        <f>+VLOOKUP($C80,'Master Data'!$B$433:$N$449,4,FALSE)</f>
        <v>0</v>
      </c>
      <c r="K80" s="167">
        <f>+VLOOKUP($C80,'Master Data'!$B$433:$N$449,5,FALSE)</f>
        <v>0</v>
      </c>
      <c r="L80" s="167"/>
      <c r="M80" s="167">
        <f>+VLOOKUP($C80,'Master Data'!$B$433:$N$449,7,FALSE)</f>
        <v>0</v>
      </c>
      <c r="N80" s="167">
        <f>+VLOOKUP($C80,'Master Data'!$B$433:$N$449,8,FALSE)</f>
        <v>9</v>
      </c>
      <c r="O80" s="167"/>
      <c r="P80" s="167">
        <f>+VLOOKUP($C80,'Master Data'!$B$433:$N$449,10,FALSE)</f>
        <v>9</v>
      </c>
      <c r="Q80" s="167">
        <f>+VLOOKUP($C80,'Master Data'!$B$433:$N$449,11,FALSE)</f>
        <v>2</v>
      </c>
      <c r="R80" s="167"/>
      <c r="S80" s="167">
        <f>+VLOOKUP($C80,'Master Data'!$B$433:$N$449,13,FALSE)</f>
        <v>2</v>
      </c>
      <c r="T80" s="167">
        <f t="shared" si="32"/>
        <v>281</v>
      </c>
      <c r="U80" s="167">
        <f t="shared" si="26"/>
        <v>294.5</v>
      </c>
      <c r="V80" s="167">
        <f t="shared" si="33"/>
        <v>0.28100000000000003</v>
      </c>
      <c r="W80" s="169">
        <f t="shared" si="34"/>
        <v>0.29449999999999998</v>
      </c>
    </row>
    <row r="81" spans="1:23" ht="20" customHeight="1">
      <c r="A81" s="161">
        <f t="shared" si="27"/>
        <v>60</v>
      </c>
      <c r="B81" s="88" t="s">
        <v>92</v>
      </c>
      <c r="C81" s="88" t="s">
        <v>370</v>
      </c>
      <c r="D81" s="167">
        <f>+VLOOKUP($B81,'Master Data'!$B$453:$R$543,MATCH('Master Data'!$C81,'Master Data'!$B$453:$R$453,0),FALSE)</f>
        <v>0</v>
      </c>
      <c r="E81" s="326">
        <f t="shared" si="36"/>
        <v>0</v>
      </c>
      <c r="F81" s="80">
        <f t="shared" si="28"/>
        <v>0</v>
      </c>
      <c r="G81" s="167">
        <f t="shared" si="25"/>
        <v>0</v>
      </c>
      <c r="H81" s="167">
        <f t="shared" si="31"/>
        <v>0</v>
      </c>
      <c r="I81" s="167"/>
      <c r="J81" s="167">
        <f>+VLOOKUP($C81,'Master Data'!$B$433:$N$449,4,FALSE)</f>
        <v>0</v>
      </c>
      <c r="K81" s="167">
        <f>+VLOOKUP($C81,'Master Data'!$B$433:$N$449,5,FALSE)</f>
        <v>0</v>
      </c>
      <c r="L81" s="167"/>
      <c r="M81" s="167">
        <f>+VLOOKUP($C81,'Master Data'!$B$433:$N$449,7,FALSE)</f>
        <v>0</v>
      </c>
      <c r="N81" s="167">
        <f>+VLOOKUP($C81,'Master Data'!$B$433:$N$449,8,FALSE)</f>
        <v>9</v>
      </c>
      <c r="O81" s="167"/>
      <c r="P81" s="167">
        <f>+VLOOKUP($C81,'Master Data'!$B$433:$N$449,10,FALSE)</f>
        <v>9</v>
      </c>
      <c r="Q81" s="167">
        <f>+VLOOKUP($C81,'Master Data'!$B$433:$N$449,11,FALSE)</f>
        <v>2</v>
      </c>
      <c r="R81" s="167"/>
      <c r="S81" s="167">
        <f>+VLOOKUP($C81,'Master Data'!$B$433:$N$449,13,FALSE)</f>
        <v>2</v>
      </c>
      <c r="T81" s="167">
        <f t="shared" si="32"/>
        <v>0</v>
      </c>
      <c r="U81" s="167">
        <f t="shared" si="26"/>
        <v>0</v>
      </c>
      <c r="V81" s="167">
        <f t="shared" si="33"/>
        <v>0</v>
      </c>
      <c r="W81" s="169">
        <f t="shared" si="34"/>
        <v>0</v>
      </c>
    </row>
    <row r="82" spans="1:23" ht="20" customHeight="1">
      <c r="A82" s="161">
        <f t="shared" si="27"/>
        <v>61</v>
      </c>
      <c r="B82" s="88" t="s">
        <v>94</v>
      </c>
      <c r="C82" s="88" t="s">
        <v>370</v>
      </c>
      <c r="D82" s="167">
        <f>+VLOOKUP($B82,'Master Data'!$B$453:$R$543,MATCH('Master Data'!$C82,'Master Data'!$B$453:$R$453,0),FALSE)</f>
        <v>0</v>
      </c>
      <c r="E82" s="326">
        <f t="shared" si="36"/>
        <v>0</v>
      </c>
      <c r="F82" s="80">
        <f t="shared" si="28"/>
        <v>0</v>
      </c>
      <c r="G82" s="167">
        <f t="shared" si="25"/>
        <v>0</v>
      </c>
      <c r="H82" s="167">
        <f t="shared" si="31"/>
        <v>0</v>
      </c>
      <c r="I82" s="167"/>
      <c r="J82" s="167">
        <f>+VLOOKUP($C82,'Master Data'!$B$433:$N$449,4,FALSE)</f>
        <v>0</v>
      </c>
      <c r="K82" s="167">
        <f>+VLOOKUP($C82,'Master Data'!$B$433:$N$449,5,FALSE)</f>
        <v>0</v>
      </c>
      <c r="L82" s="167"/>
      <c r="M82" s="167">
        <f>+VLOOKUP($C82,'Master Data'!$B$433:$N$449,7,FALSE)</f>
        <v>0</v>
      </c>
      <c r="N82" s="167">
        <f>+VLOOKUP($C82,'Master Data'!$B$433:$N$449,8,FALSE)</f>
        <v>9</v>
      </c>
      <c r="O82" s="167"/>
      <c r="P82" s="167">
        <f>+VLOOKUP($C82,'Master Data'!$B$433:$N$449,10,FALSE)</f>
        <v>9</v>
      </c>
      <c r="Q82" s="167">
        <f>+VLOOKUP($C82,'Master Data'!$B$433:$N$449,11,FALSE)</f>
        <v>2</v>
      </c>
      <c r="R82" s="167"/>
      <c r="S82" s="167">
        <f>+VLOOKUP($C82,'Master Data'!$B$433:$N$449,13,FALSE)</f>
        <v>2</v>
      </c>
      <c r="T82" s="167">
        <f t="shared" si="32"/>
        <v>0</v>
      </c>
      <c r="U82" s="167">
        <f t="shared" si="26"/>
        <v>0</v>
      </c>
      <c r="V82" s="167">
        <f t="shared" si="33"/>
        <v>0</v>
      </c>
      <c r="W82" s="169">
        <f t="shared" si="34"/>
        <v>0</v>
      </c>
    </row>
    <row r="83" spans="1:23" ht="20" customHeight="1">
      <c r="A83" s="161">
        <f t="shared" si="27"/>
        <v>62</v>
      </c>
      <c r="B83" s="88" t="s">
        <v>95</v>
      </c>
      <c r="C83" s="88" t="s">
        <v>370</v>
      </c>
      <c r="D83" s="167">
        <f>+VLOOKUP($B83,'Master Data'!$B$453:$R$543,MATCH('Master Data'!$C83,'Master Data'!$B$453:$R$453,0),FALSE)</f>
        <v>0</v>
      </c>
      <c r="E83" s="326">
        <f t="shared" si="36"/>
        <v>0</v>
      </c>
      <c r="F83" s="80">
        <f t="shared" si="28"/>
        <v>0</v>
      </c>
      <c r="G83" s="167">
        <f t="shared" si="25"/>
        <v>0</v>
      </c>
      <c r="H83" s="167">
        <f t="shared" si="31"/>
        <v>0</v>
      </c>
      <c r="I83" s="167"/>
      <c r="J83" s="167">
        <f>+VLOOKUP($C83,'Master Data'!$B$433:$N$449,4,FALSE)</f>
        <v>0</v>
      </c>
      <c r="K83" s="167">
        <f>+VLOOKUP($C83,'Master Data'!$B$433:$N$449,5,FALSE)</f>
        <v>0</v>
      </c>
      <c r="L83" s="167"/>
      <c r="M83" s="167">
        <f>+VLOOKUP($C83,'Master Data'!$B$433:$N$449,7,FALSE)</f>
        <v>0</v>
      </c>
      <c r="N83" s="167">
        <f>+VLOOKUP($C83,'Master Data'!$B$433:$N$449,8,FALSE)</f>
        <v>9</v>
      </c>
      <c r="O83" s="167"/>
      <c r="P83" s="167">
        <f>+VLOOKUP($C83,'Master Data'!$B$433:$N$449,10,FALSE)</f>
        <v>9</v>
      </c>
      <c r="Q83" s="167">
        <f>+VLOOKUP($C83,'Master Data'!$B$433:$N$449,11,FALSE)</f>
        <v>2</v>
      </c>
      <c r="R83" s="167"/>
      <c r="S83" s="167">
        <f>+VLOOKUP($C83,'Master Data'!$B$433:$N$449,13,FALSE)</f>
        <v>2</v>
      </c>
      <c r="T83" s="167">
        <f t="shared" si="32"/>
        <v>0</v>
      </c>
      <c r="U83" s="167">
        <f t="shared" si="26"/>
        <v>0</v>
      </c>
      <c r="V83" s="167">
        <f t="shared" si="33"/>
        <v>0</v>
      </c>
      <c r="W83" s="169">
        <f t="shared" si="34"/>
        <v>0</v>
      </c>
    </row>
    <row r="84" spans="1:23" ht="20" customHeight="1">
      <c r="A84" s="161">
        <f t="shared" si="27"/>
        <v>63</v>
      </c>
      <c r="B84" s="88" t="s">
        <v>96</v>
      </c>
      <c r="C84" s="88" t="s">
        <v>370</v>
      </c>
      <c r="D84" s="167">
        <f>+VLOOKUP($B84,'Master Data'!$B$453:$R$543,MATCH('Master Data'!$C84,'Master Data'!$B$453:$R$453,0),FALSE)</f>
        <v>0</v>
      </c>
      <c r="E84" s="326">
        <f t="shared" si="36"/>
        <v>0</v>
      </c>
      <c r="F84" s="80">
        <f t="shared" si="28"/>
        <v>0</v>
      </c>
      <c r="G84" s="167">
        <f t="shared" si="25"/>
        <v>0</v>
      </c>
      <c r="H84" s="167">
        <f t="shared" si="31"/>
        <v>0</v>
      </c>
      <c r="I84" s="167"/>
      <c r="J84" s="167">
        <f>+VLOOKUP($C84,'Master Data'!$B$433:$N$449,4,FALSE)</f>
        <v>0</v>
      </c>
      <c r="K84" s="167">
        <f>+VLOOKUP($C84,'Master Data'!$B$433:$N$449,5,FALSE)</f>
        <v>0</v>
      </c>
      <c r="L84" s="167"/>
      <c r="M84" s="167">
        <f>+VLOOKUP($C84,'Master Data'!$B$433:$N$449,7,FALSE)</f>
        <v>0</v>
      </c>
      <c r="N84" s="167">
        <f>+VLOOKUP($C84,'Master Data'!$B$433:$N$449,8,FALSE)</f>
        <v>9</v>
      </c>
      <c r="O84" s="167"/>
      <c r="P84" s="167">
        <f>+VLOOKUP($C84,'Master Data'!$B$433:$N$449,10,FALSE)</f>
        <v>9</v>
      </c>
      <c r="Q84" s="167">
        <f>+VLOOKUP($C84,'Master Data'!$B$433:$N$449,11,FALSE)</f>
        <v>2</v>
      </c>
      <c r="R84" s="167"/>
      <c r="S84" s="167">
        <f>+VLOOKUP($C84,'Master Data'!$B$433:$N$449,13,FALSE)</f>
        <v>2</v>
      </c>
      <c r="T84" s="167">
        <f t="shared" si="32"/>
        <v>0</v>
      </c>
      <c r="U84" s="167">
        <f t="shared" si="26"/>
        <v>0</v>
      </c>
      <c r="V84" s="167">
        <f t="shared" si="33"/>
        <v>0</v>
      </c>
      <c r="W84" s="169">
        <f t="shared" si="34"/>
        <v>0</v>
      </c>
    </row>
    <row r="85" spans="1:23" ht="20" customHeight="1">
      <c r="A85" s="161">
        <f t="shared" si="27"/>
        <v>64</v>
      </c>
      <c r="B85" s="88" t="s">
        <v>97</v>
      </c>
      <c r="C85" s="88" t="s">
        <v>370</v>
      </c>
      <c r="D85" s="167">
        <f>+VLOOKUP($B85,'Master Data'!$B$453:$R$543,MATCH('Master Data'!$C85,'Master Data'!$B$453:$R$453,0),FALSE)</f>
        <v>0</v>
      </c>
      <c r="E85" s="326">
        <f t="shared" si="36"/>
        <v>0</v>
      </c>
      <c r="F85" s="80">
        <f t="shared" si="28"/>
        <v>0</v>
      </c>
      <c r="G85" s="167">
        <f t="shared" si="25"/>
        <v>0</v>
      </c>
      <c r="H85" s="167">
        <f t="shared" si="31"/>
        <v>0</v>
      </c>
      <c r="I85" s="167"/>
      <c r="J85" s="167">
        <f>+VLOOKUP($C85,'Master Data'!$B$433:$N$449,4,FALSE)</f>
        <v>0</v>
      </c>
      <c r="K85" s="167">
        <f>+VLOOKUP($C85,'Master Data'!$B$433:$N$449,5,FALSE)</f>
        <v>0</v>
      </c>
      <c r="L85" s="167"/>
      <c r="M85" s="167">
        <f>+VLOOKUP($C85,'Master Data'!$B$433:$N$449,7,FALSE)</f>
        <v>0</v>
      </c>
      <c r="N85" s="167">
        <f>+VLOOKUP($C85,'Master Data'!$B$433:$N$449,8,FALSE)</f>
        <v>9</v>
      </c>
      <c r="O85" s="167"/>
      <c r="P85" s="167">
        <f>+VLOOKUP($C85,'Master Data'!$B$433:$N$449,10,FALSE)</f>
        <v>9</v>
      </c>
      <c r="Q85" s="167">
        <f>+VLOOKUP($C85,'Master Data'!$B$433:$N$449,11,FALSE)</f>
        <v>2</v>
      </c>
      <c r="R85" s="167"/>
      <c r="S85" s="167">
        <f>+VLOOKUP($C85,'Master Data'!$B$433:$N$449,13,FALSE)</f>
        <v>2</v>
      </c>
      <c r="T85" s="167">
        <f t="shared" si="32"/>
        <v>0</v>
      </c>
      <c r="U85" s="167">
        <f t="shared" si="26"/>
        <v>0</v>
      </c>
      <c r="V85" s="167">
        <f t="shared" si="33"/>
        <v>0</v>
      </c>
      <c r="W85" s="169">
        <f t="shared" si="34"/>
        <v>0</v>
      </c>
    </row>
    <row r="86" spans="1:23" ht="20" customHeight="1">
      <c r="A86" s="161">
        <f t="shared" si="27"/>
        <v>65</v>
      </c>
      <c r="B86" s="88" t="s">
        <v>98</v>
      </c>
      <c r="C86" s="88" t="s">
        <v>370</v>
      </c>
      <c r="D86" s="167">
        <f>+VLOOKUP($B86,'Master Data'!$B$453:$R$543,MATCH('Master Data'!$C86,'Master Data'!$B$453:$R$453,0),FALSE)</f>
        <v>0</v>
      </c>
      <c r="E86" s="326">
        <f t="shared" si="36"/>
        <v>0</v>
      </c>
      <c r="F86" s="80">
        <f t="shared" si="28"/>
        <v>0</v>
      </c>
      <c r="G86" s="167">
        <f t="shared" si="25"/>
        <v>0</v>
      </c>
      <c r="H86" s="167">
        <f t="shared" ref="H86:H110" si="37">INDEX($B$433:$N$449,MATCH($C86,$B$433:$B$449,0),MATCH(H$20,$B$433:$N$433,0))</f>
        <v>0</v>
      </c>
      <c r="I86" s="167"/>
      <c r="J86" s="167">
        <f>+VLOOKUP($C86,'Master Data'!$B$433:$N$449,4,FALSE)</f>
        <v>0</v>
      </c>
      <c r="K86" s="167">
        <f>+VLOOKUP($C86,'Master Data'!$B$433:$N$449,5,FALSE)</f>
        <v>0</v>
      </c>
      <c r="L86" s="167"/>
      <c r="M86" s="167">
        <f>+VLOOKUP($C86,'Master Data'!$B$433:$N$449,7,FALSE)</f>
        <v>0</v>
      </c>
      <c r="N86" s="167">
        <f>+VLOOKUP($C86,'Master Data'!$B$433:$N$449,8,FALSE)</f>
        <v>9</v>
      </c>
      <c r="O86" s="167"/>
      <c r="P86" s="167">
        <f>+VLOOKUP($C86,'Master Data'!$B$433:$N$449,10,FALSE)</f>
        <v>9</v>
      </c>
      <c r="Q86" s="167">
        <f>+VLOOKUP($C86,'Master Data'!$B$433:$N$449,11,FALSE)</f>
        <v>2</v>
      </c>
      <c r="R86" s="167"/>
      <c r="S86" s="167">
        <f>+VLOOKUP($C86,'Master Data'!$B$433:$N$449,13,FALSE)</f>
        <v>2</v>
      </c>
      <c r="T86" s="167">
        <f t="shared" ref="T86:T120" si="38">IF(D86=0,0,$D86+$H86+$K86+$N86+$Q86)</f>
        <v>0</v>
      </c>
      <c r="U86" s="167">
        <f t="shared" si="26"/>
        <v>0</v>
      </c>
      <c r="V86" s="167">
        <f t="shared" ref="V86:V110" si="39">+$T86/1000</f>
        <v>0</v>
      </c>
      <c r="W86" s="169">
        <f t="shared" ref="W86:W110" si="40">+$U86/1000</f>
        <v>0</v>
      </c>
    </row>
    <row r="87" spans="1:23" ht="20" customHeight="1">
      <c r="A87" s="161">
        <f t="shared" si="27"/>
        <v>66</v>
      </c>
      <c r="B87" s="88" t="s">
        <v>181</v>
      </c>
      <c r="C87" s="88" t="s">
        <v>370</v>
      </c>
      <c r="D87" s="167">
        <f>+VLOOKUP($B87,'Master Data'!$B$453:$R$543,MATCH('Master Data'!$C87,'Master Data'!$B$453:$R$453,0),FALSE)</f>
        <v>275</v>
      </c>
      <c r="E87" s="326">
        <f t="shared" si="36"/>
        <v>13.75</v>
      </c>
      <c r="F87" s="80">
        <f t="shared" si="28"/>
        <v>0</v>
      </c>
      <c r="G87" s="167">
        <f t="shared" ref="G87:G110" si="41">+D87+E87+F87</f>
        <v>288.75</v>
      </c>
      <c r="H87" s="167">
        <f t="shared" si="37"/>
        <v>0</v>
      </c>
      <c r="I87" s="167"/>
      <c r="J87" s="167">
        <f>+VLOOKUP($C87,'Master Data'!$B$433:$N$449,4,FALSE)</f>
        <v>0</v>
      </c>
      <c r="K87" s="167">
        <f>+VLOOKUP($C87,'Master Data'!$B$433:$N$449,5,FALSE)</f>
        <v>0</v>
      </c>
      <c r="L87" s="167"/>
      <c r="M87" s="167">
        <f>+VLOOKUP($C87,'Master Data'!$B$433:$N$449,7,FALSE)</f>
        <v>0</v>
      </c>
      <c r="N87" s="167">
        <f>+VLOOKUP($C87,'Master Data'!$B$433:$N$449,8,FALSE)</f>
        <v>9</v>
      </c>
      <c r="O87" s="167"/>
      <c r="P87" s="167">
        <f>+VLOOKUP($C87,'Master Data'!$B$433:$N$449,10,FALSE)</f>
        <v>9</v>
      </c>
      <c r="Q87" s="167">
        <f>+VLOOKUP($C87,'Master Data'!$B$433:$N$449,11,FALSE)</f>
        <v>2</v>
      </c>
      <c r="R87" s="167"/>
      <c r="S87" s="167">
        <f>+VLOOKUP($C87,'Master Data'!$B$433:$N$449,13,FALSE)</f>
        <v>2</v>
      </c>
      <c r="T87" s="167">
        <f t="shared" si="38"/>
        <v>286</v>
      </c>
      <c r="U87" s="167">
        <f t="shared" ref="U87:U157" si="42">IF(G87=0,0,G87+J87+M87+P87+S87)</f>
        <v>299.75</v>
      </c>
      <c r="V87" s="167">
        <f t="shared" si="39"/>
        <v>0.28599999999999998</v>
      </c>
      <c r="W87" s="169">
        <f t="shared" si="40"/>
        <v>0.29975000000000002</v>
      </c>
    </row>
    <row r="88" spans="1:23" ht="20" customHeight="1">
      <c r="A88" s="161">
        <f t="shared" si="27"/>
        <v>67</v>
      </c>
      <c r="B88" s="88" t="s">
        <v>99</v>
      </c>
      <c r="C88" s="88" t="s">
        <v>370</v>
      </c>
      <c r="D88" s="167">
        <f>+VLOOKUP($B88,'Master Data'!$B$453:$R$543,MATCH('Master Data'!$C88,'Master Data'!$B$453:$R$453,0),FALSE)</f>
        <v>560</v>
      </c>
      <c r="E88" s="326">
        <f t="shared" si="36"/>
        <v>28</v>
      </c>
      <c r="F88" s="80">
        <f t="shared" ref="F88:F110" si="43">IF(C88="Ali kikabai",D88*0.008,0)</f>
        <v>0</v>
      </c>
      <c r="G88" s="167">
        <f t="shared" si="41"/>
        <v>588</v>
      </c>
      <c r="H88" s="167">
        <f t="shared" si="37"/>
        <v>0</v>
      </c>
      <c r="I88" s="167"/>
      <c r="J88" s="167">
        <f>+VLOOKUP($C88,'Master Data'!$B$433:$N$449,4,FALSE)</f>
        <v>0</v>
      </c>
      <c r="K88" s="167">
        <f>+VLOOKUP($C88,'Master Data'!$B$433:$N$449,5,FALSE)</f>
        <v>0</v>
      </c>
      <c r="L88" s="167"/>
      <c r="M88" s="167">
        <f>+VLOOKUP($C88,'Master Data'!$B$433:$N$449,7,FALSE)</f>
        <v>0</v>
      </c>
      <c r="N88" s="167">
        <f>+VLOOKUP($C88,'Master Data'!$B$433:$N$449,8,FALSE)</f>
        <v>9</v>
      </c>
      <c r="O88" s="167"/>
      <c r="P88" s="167">
        <f>+VLOOKUP($C88,'Master Data'!$B$433:$N$449,10,FALSE)</f>
        <v>9</v>
      </c>
      <c r="Q88" s="167">
        <f>+VLOOKUP($C88,'Master Data'!$B$433:$N$449,11,FALSE)</f>
        <v>2</v>
      </c>
      <c r="R88" s="167"/>
      <c r="S88" s="167">
        <f>+VLOOKUP($C88,'Master Data'!$B$433:$N$449,13,FALSE)</f>
        <v>2</v>
      </c>
      <c r="T88" s="167">
        <f t="shared" si="38"/>
        <v>571</v>
      </c>
      <c r="U88" s="167">
        <f t="shared" si="42"/>
        <v>599</v>
      </c>
      <c r="V88" s="167">
        <f t="shared" si="39"/>
        <v>0.57099999999999995</v>
      </c>
      <c r="W88" s="169">
        <f t="shared" si="40"/>
        <v>0.59899999999999998</v>
      </c>
    </row>
    <row r="89" spans="1:23" ht="20" customHeight="1">
      <c r="A89" s="161">
        <f t="shared" ref="A89:A166" si="44">+A88+1</f>
        <v>68</v>
      </c>
      <c r="B89" s="88" t="s">
        <v>185</v>
      </c>
      <c r="C89" s="88" t="s">
        <v>370</v>
      </c>
      <c r="D89" s="167">
        <f>+VLOOKUP($B89,'Master Data'!$B$453:$R$543,MATCH('Master Data'!$C89,'Master Data'!$B$453:$R$453,0),FALSE)</f>
        <v>590</v>
      </c>
      <c r="E89" s="326">
        <f t="shared" si="36"/>
        <v>29.5</v>
      </c>
      <c r="F89" s="80">
        <f t="shared" si="43"/>
        <v>0</v>
      </c>
      <c r="G89" s="167">
        <f t="shared" si="41"/>
        <v>619.5</v>
      </c>
      <c r="H89" s="167">
        <f t="shared" si="37"/>
        <v>0</v>
      </c>
      <c r="I89" s="167"/>
      <c r="J89" s="167">
        <f>+VLOOKUP($C89,'Master Data'!$B$433:$N$449,4,FALSE)</f>
        <v>0</v>
      </c>
      <c r="K89" s="167">
        <f>+VLOOKUP($C89,'Master Data'!$B$433:$N$449,5,FALSE)</f>
        <v>0</v>
      </c>
      <c r="L89" s="167"/>
      <c r="M89" s="167">
        <f>+VLOOKUP($C89,'Master Data'!$B$433:$N$449,7,FALSE)</f>
        <v>0</v>
      </c>
      <c r="N89" s="167">
        <f>+VLOOKUP($C89,'Master Data'!$B$433:$N$449,8,FALSE)</f>
        <v>9</v>
      </c>
      <c r="O89" s="167"/>
      <c r="P89" s="167">
        <f>+VLOOKUP($C89,'Master Data'!$B$433:$N$449,10,FALSE)</f>
        <v>9</v>
      </c>
      <c r="Q89" s="167">
        <f>+VLOOKUP($C89,'Master Data'!$B$433:$N$449,11,FALSE)</f>
        <v>2</v>
      </c>
      <c r="R89" s="167"/>
      <c r="S89" s="167">
        <f>+VLOOKUP($C89,'Master Data'!$B$433:$N$449,13,FALSE)</f>
        <v>2</v>
      </c>
      <c r="T89" s="167">
        <f t="shared" si="38"/>
        <v>601</v>
      </c>
      <c r="U89" s="167">
        <f t="shared" si="42"/>
        <v>630.5</v>
      </c>
      <c r="V89" s="167">
        <f t="shared" si="39"/>
        <v>0.60099999999999998</v>
      </c>
      <c r="W89" s="169">
        <f t="shared" si="40"/>
        <v>0.63049999999999995</v>
      </c>
    </row>
    <row r="90" spans="1:23" ht="20" customHeight="1">
      <c r="A90" s="161">
        <f t="shared" si="44"/>
        <v>69</v>
      </c>
      <c r="B90" s="88" t="s">
        <v>163</v>
      </c>
      <c r="C90" s="88" t="s">
        <v>370</v>
      </c>
      <c r="D90" s="167">
        <f>+VLOOKUP($B90,'Master Data'!$B$453:$R$543,MATCH('Master Data'!$C90,'Master Data'!$B$453:$R$453,0),FALSE)</f>
        <v>630</v>
      </c>
      <c r="E90" s="326">
        <f t="shared" si="36"/>
        <v>31.5</v>
      </c>
      <c r="F90" s="80">
        <f t="shared" si="43"/>
        <v>0</v>
      </c>
      <c r="G90" s="167">
        <f t="shared" si="41"/>
        <v>661.5</v>
      </c>
      <c r="H90" s="167">
        <f t="shared" si="37"/>
        <v>0</v>
      </c>
      <c r="I90" s="167"/>
      <c r="J90" s="167">
        <f>+VLOOKUP($C90,'Master Data'!$B$433:$N$449,4,FALSE)</f>
        <v>0</v>
      </c>
      <c r="K90" s="167">
        <f>+VLOOKUP($C90,'Master Data'!$B$433:$N$449,5,FALSE)</f>
        <v>0</v>
      </c>
      <c r="L90" s="167"/>
      <c r="M90" s="167">
        <f>+VLOOKUP($C90,'Master Data'!$B$433:$N$449,7,FALSE)</f>
        <v>0</v>
      </c>
      <c r="N90" s="167">
        <f>+VLOOKUP($C90,'Master Data'!$B$433:$N$449,8,FALSE)</f>
        <v>9</v>
      </c>
      <c r="O90" s="167"/>
      <c r="P90" s="167">
        <f>+VLOOKUP($C90,'Master Data'!$B$433:$N$449,10,FALSE)</f>
        <v>9</v>
      </c>
      <c r="Q90" s="167">
        <f>+VLOOKUP($C90,'Master Data'!$B$433:$N$449,11,FALSE)</f>
        <v>2</v>
      </c>
      <c r="R90" s="167"/>
      <c r="S90" s="167">
        <f>+VLOOKUP($C90,'Master Data'!$B$433:$N$449,13,FALSE)</f>
        <v>2</v>
      </c>
      <c r="T90" s="167">
        <f t="shared" si="38"/>
        <v>641</v>
      </c>
      <c r="U90" s="167">
        <f t="shared" si="42"/>
        <v>672.5</v>
      </c>
      <c r="V90" s="167">
        <f t="shared" si="39"/>
        <v>0.64100000000000001</v>
      </c>
      <c r="W90" s="169">
        <f t="shared" si="40"/>
        <v>0.67249999999999999</v>
      </c>
    </row>
    <row r="91" spans="1:23" ht="20" customHeight="1">
      <c r="A91" s="161">
        <f t="shared" si="44"/>
        <v>70</v>
      </c>
      <c r="B91" s="88" t="s">
        <v>101</v>
      </c>
      <c r="C91" s="88" t="s">
        <v>370</v>
      </c>
      <c r="D91" s="167">
        <f>+VLOOKUP($B91,'Master Data'!$B$453:$R$543,MATCH('Master Data'!$C91,'Master Data'!$B$453:$R$453,0),FALSE)</f>
        <v>0</v>
      </c>
      <c r="E91" s="326">
        <f t="shared" si="36"/>
        <v>0</v>
      </c>
      <c r="F91" s="80">
        <f t="shared" si="43"/>
        <v>0</v>
      </c>
      <c r="G91" s="167">
        <f t="shared" si="41"/>
        <v>0</v>
      </c>
      <c r="H91" s="167">
        <f t="shared" si="37"/>
        <v>0</v>
      </c>
      <c r="I91" s="167"/>
      <c r="J91" s="167">
        <f>+VLOOKUP($C91,'Master Data'!$B$433:$N$449,4,FALSE)</f>
        <v>0</v>
      </c>
      <c r="K91" s="167">
        <f>+VLOOKUP($C91,'Master Data'!$B$433:$N$449,5,FALSE)</f>
        <v>0</v>
      </c>
      <c r="L91" s="167"/>
      <c r="M91" s="167">
        <f>+VLOOKUP($C91,'Master Data'!$B$433:$N$449,7,FALSE)</f>
        <v>0</v>
      </c>
      <c r="N91" s="167">
        <f>+VLOOKUP($C91,'Master Data'!$B$433:$N$449,8,FALSE)</f>
        <v>9</v>
      </c>
      <c r="O91" s="167"/>
      <c r="P91" s="167">
        <f>+VLOOKUP($C91,'Master Data'!$B$433:$N$449,10,FALSE)</f>
        <v>9</v>
      </c>
      <c r="Q91" s="167">
        <f>+VLOOKUP($C91,'Master Data'!$B$433:$N$449,11,FALSE)</f>
        <v>2</v>
      </c>
      <c r="R91" s="167"/>
      <c r="S91" s="167">
        <f>+VLOOKUP($C91,'Master Data'!$B$433:$N$449,13,FALSE)</f>
        <v>2</v>
      </c>
      <c r="T91" s="167">
        <f t="shared" si="38"/>
        <v>0</v>
      </c>
      <c r="U91" s="167">
        <f t="shared" si="42"/>
        <v>0</v>
      </c>
      <c r="V91" s="167">
        <f t="shared" si="39"/>
        <v>0</v>
      </c>
      <c r="W91" s="169">
        <f t="shared" si="40"/>
        <v>0</v>
      </c>
    </row>
    <row r="92" spans="1:23" ht="20" customHeight="1">
      <c r="A92" s="161">
        <f t="shared" si="44"/>
        <v>71</v>
      </c>
      <c r="B92" s="88" t="s">
        <v>102</v>
      </c>
      <c r="C92" s="88" t="s">
        <v>370</v>
      </c>
      <c r="D92" s="167">
        <f>+VLOOKUP($B92,'Master Data'!$B$453:$R$543,MATCH('Master Data'!$C92,'Master Data'!$B$453:$R$453,0),FALSE)</f>
        <v>0</v>
      </c>
      <c r="E92" s="326">
        <f t="shared" si="36"/>
        <v>0</v>
      </c>
      <c r="F92" s="80">
        <f t="shared" si="43"/>
        <v>0</v>
      </c>
      <c r="G92" s="167">
        <f t="shared" si="41"/>
        <v>0</v>
      </c>
      <c r="H92" s="167">
        <f t="shared" si="37"/>
        <v>0</v>
      </c>
      <c r="I92" s="167"/>
      <c r="J92" s="167">
        <f>+VLOOKUP($C92,'Master Data'!$B$433:$N$449,4,FALSE)</f>
        <v>0</v>
      </c>
      <c r="K92" s="167">
        <f>+VLOOKUP($C92,'Master Data'!$B$433:$N$449,5,FALSE)</f>
        <v>0</v>
      </c>
      <c r="L92" s="167"/>
      <c r="M92" s="167">
        <f>+VLOOKUP($C92,'Master Data'!$B$433:$N$449,7,FALSE)</f>
        <v>0</v>
      </c>
      <c r="N92" s="167">
        <f>+VLOOKUP($C92,'Master Data'!$B$433:$N$449,8,FALSE)</f>
        <v>9</v>
      </c>
      <c r="O92" s="167"/>
      <c r="P92" s="167">
        <f>+VLOOKUP($C92,'Master Data'!$B$433:$N$449,10,FALSE)</f>
        <v>9</v>
      </c>
      <c r="Q92" s="167">
        <f>+VLOOKUP($C92,'Master Data'!$B$433:$N$449,11,FALSE)</f>
        <v>2</v>
      </c>
      <c r="R92" s="167"/>
      <c r="S92" s="167">
        <f>+VLOOKUP($C92,'Master Data'!$B$433:$N$449,13,FALSE)</f>
        <v>2</v>
      </c>
      <c r="T92" s="167">
        <f t="shared" si="38"/>
        <v>0</v>
      </c>
      <c r="U92" s="167">
        <f t="shared" si="42"/>
        <v>0</v>
      </c>
      <c r="V92" s="167">
        <f t="shared" si="39"/>
        <v>0</v>
      </c>
      <c r="W92" s="169">
        <f t="shared" si="40"/>
        <v>0</v>
      </c>
    </row>
    <row r="93" spans="1:23" ht="20" customHeight="1">
      <c r="A93" s="161">
        <f t="shared" si="44"/>
        <v>72</v>
      </c>
      <c r="B93" s="88" t="s">
        <v>103</v>
      </c>
      <c r="C93" s="88" t="s">
        <v>370</v>
      </c>
      <c r="D93" s="167">
        <f>+VLOOKUP($B93,'Master Data'!$B$453:$R$543,MATCH('Master Data'!$C93,'Master Data'!$B$453:$R$453,0),FALSE)</f>
        <v>0</v>
      </c>
      <c r="E93" s="326">
        <f t="shared" si="36"/>
        <v>0</v>
      </c>
      <c r="F93" s="80">
        <f t="shared" si="43"/>
        <v>0</v>
      </c>
      <c r="G93" s="167">
        <f t="shared" si="41"/>
        <v>0</v>
      </c>
      <c r="H93" s="167">
        <f t="shared" si="37"/>
        <v>0</v>
      </c>
      <c r="I93" s="167"/>
      <c r="J93" s="167">
        <f>+VLOOKUP($C93,'Master Data'!$B$433:$N$449,4,FALSE)</f>
        <v>0</v>
      </c>
      <c r="K93" s="167">
        <f>+VLOOKUP($C93,'Master Data'!$B$433:$N$449,5,FALSE)</f>
        <v>0</v>
      </c>
      <c r="L93" s="167"/>
      <c r="M93" s="167">
        <f>+VLOOKUP($C93,'Master Data'!$B$433:$N$449,7,FALSE)</f>
        <v>0</v>
      </c>
      <c r="N93" s="167">
        <f>+VLOOKUP($C93,'Master Data'!$B$433:$N$449,8,FALSE)</f>
        <v>9</v>
      </c>
      <c r="O93" s="167"/>
      <c r="P93" s="167">
        <f>+VLOOKUP($C93,'Master Data'!$B$433:$N$449,10,FALSE)</f>
        <v>9</v>
      </c>
      <c r="Q93" s="167">
        <f>+VLOOKUP($C93,'Master Data'!$B$433:$N$449,11,FALSE)</f>
        <v>2</v>
      </c>
      <c r="R93" s="167"/>
      <c r="S93" s="167">
        <f>+VLOOKUP($C93,'Master Data'!$B$433:$N$449,13,FALSE)</f>
        <v>2</v>
      </c>
      <c r="T93" s="167">
        <f t="shared" si="38"/>
        <v>0</v>
      </c>
      <c r="U93" s="167">
        <f t="shared" si="42"/>
        <v>0</v>
      </c>
      <c r="V93" s="167">
        <f t="shared" si="39"/>
        <v>0</v>
      </c>
      <c r="W93" s="169">
        <f t="shared" si="40"/>
        <v>0</v>
      </c>
    </row>
    <row r="94" spans="1:23" ht="20" customHeight="1">
      <c r="A94" s="161">
        <f t="shared" si="44"/>
        <v>73</v>
      </c>
      <c r="B94" s="88" t="s">
        <v>63</v>
      </c>
      <c r="C94" s="88" t="s">
        <v>100</v>
      </c>
      <c r="D94" s="167">
        <f>+VLOOKUP($B94,'Master Data'!$B$453:$R$543,MATCH('Master Data'!$C94,'Master Data'!$B$453:$R$453,0),FALSE)</f>
        <v>150</v>
      </c>
      <c r="E94" s="326">
        <f t="shared" si="36"/>
        <v>0</v>
      </c>
      <c r="F94" s="80">
        <f t="shared" si="43"/>
        <v>0</v>
      </c>
      <c r="G94" s="167">
        <f t="shared" si="41"/>
        <v>150</v>
      </c>
      <c r="H94" s="167">
        <f t="shared" si="37"/>
        <v>0</v>
      </c>
      <c r="I94" s="167"/>
      <c r="J94" s="167">
        <f>+VLOOKUP($C94,'Master Data'!$B$433:$N$449,4,FALSE)</f>
        <v>0</v>
      </c>
      <c r="K94" s="167">
        <f>+VLOOKUP($C94,'Master Data'!$B$433:$N$449,5,FALSE)</f>
        <v>0</v>
      </c>
      <c r="L94" s="167"/>
      <c r="M94" s="167">
        <f>+VLOOKUP($C94,'Master Data'!$B$433:$N$449,7,FALSE)</f>
        <v>0</v>
      </c>
      <c r="N94" s="167">
        <f>+VLOOKUP($C94,'Master Data'!$B$433:$N$449,8,FALSE)</f>
        <v>0</v>
      </c>
      <c r="O94" s="167"/>
      <c r="P94" s="167">
        <f>+VLOOKUP($C94,'Master Data'!$B$433:$N$449,10,FALSE)</f>
        <v>0</v>
      </c>
      <c r="Q94" s="167">
        <f>+VLOOKUP($C94,'Master Data'!$B$433:$N$449,11,FALSE)</f>
        <v>0</v>
      </c>
      <c r="R94" s="167"/>
      <c r="S94" s="167">
        <f>+VLOOKUP($C94,'Master Data'!$B$433:$N$449,13,FALSE)</f>
        <v>0</v>
      </c>
      <c r="T94" s="167">
        <f t="shared" si="38"/>
        <v>150</v>
      </c>
      <c r="U94" s="167">
        <f t="shared" si="42"/>
        <v>150</v>
      </c>
      <c r="V94" s="167">
        <f t="shared" si="39"/>
        <v>0.15</v>
      </c>
      <c r="W94" s="169">
        <f t="shared" si="40"/>
        <v>0.15</v>
      </c>
    </row>
    <row r="95" spans="1:23" ht="20" customHeight="1">
      <c r="A95" s="161">
        <f t="shared" si="44"/>
        <v>74</v>
      </c>
      <c r="B95" s="182" t="s">
        <v>42</v>
      </c>
      <c r="C95" s="88" t="s">
        <v>78</v>
      </c>
      <c r="D95" s="167">
        <f>+VLOOKUP($B95,'Master Data'!$B$453:$R$543,MATCH('Master Data'!$C95,'Master Data'!$B$453:$R$453,0),FALSE)</f>
        <v>68</v>
      </c>
      <c r="E95" s="168">
        <v>0</v>
      </c>
      <c r="F95" s="80">
        <f t="shared" si="43"/>
        <v>0</v>
      </c>
      <c r="G95" s="167">
        <f t="shared" si="41"/>
        <v>68</v>
      </c>
      <c r="H95" s="167">
        <f t="shared" si="37"/>
        <v>0</v>
      </c>
      <c r="I95" s="167"/>
      <c r="J95" s="167">
        <f>+VLOOKUP($C95,'Master Data'!$B$433:$N$449,4,FALSE)</f>
        <v>0</v>
      </c>
      <c r="K95" s="167">
        <f>+VLOOKUP($C95,'Master Data'!$B$433:$N$449,5,FALSE)</f>
        <v>0</v>
      </c>
      <c r="L95" s="167"/>
      <c r="M95" s="167">
        <f>+VLOOKUP($C95,'Master Data'!$B$433:$N$449,7,FALSE)</f>
        <v>0</v>
      </c>
      <c r="N95" s="167">
        <f>+VLOOKUP($C95,'Master Data'!$B$433:$N$449,8,FALSE)</f>
        <v>0</v>
      </c>
      <c r="O95" s="167"/>
      <c r="P95" s="167">
        <f>+VLOOKUP($C95,'Master Data'!$B$433:$N$449,10,FALSE)</f>
        <v>0</v>
      </c>
      <c r="Q95" s="167">
        <f>+VLOOKUP($C95,'Master Data'!$B$433:$N$449,11,FALSE)</f>
        <v>4</v>
      </c>
      <c r="R95" s="167"/>
      <c r="S95" s="167">
        <f>+VLOOKUP($C95,'Master Data'!$B$433:$N$449,13,FALSE)</f>
        <v>4</v>
      </c>
      <c r="T95" s="167">
        <f t="shared" si="38"/>
        <v>72</v>
      </c>
      <c r="U95" s="167">
        <f t="shared" si="42"/>
        <v>72</v>
      </c>
      <c r="V95" s="167">
        <f t="shared" si="39"/>
        <v>7.1999999999999995E-2</v>
      </c>
      <c r="W95" s="169">
        <f t="shared" si="40"/>
        <v>7.1999999999999995E-2</v>
      </c>
    </row>
    <row r="96" spans="1:23" ht="20" customHeight="1">
      <c r="A96" s="161">
        <f t="shared" si="44"/>
        <v>75</v>
      </c>
      <c r="B96" s="88" t="s">
        <v>117</v>
      </c>
      <c r="C96" s="88" t="s">
        <v>404</v>
      </c>
      <c r="D96" s="167">
        <f>+VLOOKUP($B96,'Master Data'!$B$453:$R$543,MATCH('Master Data'!$C96,'Master Data'!$B$453:$R$453,0),FALSE)</f>
        <v>380</v>
      </c>
      <c r="E96" s="326">
        <f t="shared" ref="E96:E101" si="45">INDEX($AG$434:$AH$448,MATCH($C96,$AG$434:$AG$448,0),2)*D96</f>
        <v>19</v>
      </c>
      <c r="F96" s="80">
        <f t="shared" si="43"/>
        <v>0</v>
      </c>
      <c r="G96" s="167">
        <f t="shared" si="41"/>
        <v>399</v>
      </c>
      <c r="H96" s="167">
        <f t="shared" si="37"/>
        <v>0</v>
      </c>
      <c r="I96" s="167"/>
      <c r="J96" s="167">
        <f>+VLOOKUP($C96,'Master Data'!$B$433:$N$449,4,FALSE)</f>
        <v>0</v>
      </c>
      <c r="K96" s="167">
        <f>+VLOOKUP($C96,'Master Data'!$B$433:$N$449,5,FALSE)</f>
        <v>0</v>
      </c>
      <c r="L96" s="167"/>
      <c r="M96" s="167">
        <f>+VLOOKUP($C96,'Master Data'!$B$433:$N$449,7,FALSE)</f>
        <v>0</v>
      </c>
      <c r="N96" s="167">
        <f>+VLOOKUP($C96,'Master Data'!$B$433:$N$449,8,FALSE)</f>
        <v>0</v>
      </c>
      <c r="O96" s="167"/>
      <c r="P96" s="167">
        <f>+VLOOKUP($C96,'Master Data'!$B$433:$N$449,10,FALSE)</f>
        <v>0</v>
      </c>
      <c r="Q96" s="167">
        <f>+VLOOKUP($C96,'Master Data'!$B$433:$N$449,11,FALSE)</f>
        <v>4</v>
      </c>
      <c r="R96" s="167"/>
      <c r="S96" s="167">
        <f>+VLOOKUP($C96,'Master Data'!$B$433:$N$449,13,FALSE)</f>
        <v>4</v>
      </c>
      <c r="T96" s="167">
        <f t="shared" si="38"/>
        <v>384</v>
      </c>
      <c r="U96" s="167">
        <f t="shared" si="42"/>
        <v>403</v>
      </c>
      <c r="V96" s="167">
        <f t="shared" si="39"/>
        <v>0.38400000000000001</v>
      </c>
      <c r="W96" s="169">
        <f t="shared" si="40"/>
        <v>0.40300000000000002</v>
      </c>
    </row>
    <row r="97" spans="1:25" ht="20" customHeight="1">
      <c r="A97" s="161">
        <f t="shared" si="44"/>
        <v>76</v>
      </c>
      <c r="B97" s="88" t="s">
        <v>204</v>
      </c>
      <c r="C97" s="88" t="s">
        <v>546</v>
      </c>
      <c r="D97" s="167">
        <f>+VLOOKUP($B97,'Master Data'!$B$453:$R$543,MATCH('Master Data'!$C97,'Master Data'!$B$453:$R$453,0),FALSE)</f>
        <v>180000</v>
      </c>
      <c r="E97" s="326">
        <f t="shared" si="45"/>
        <v>9000</v>
      </c>
      <c r="F97" s="80">
        <f t="shared" si="43"/>
        <v>0</v>
      </c>
      <c r="G97" s="167">
        <f t="shared" si="41"/>
        <v>189000</v>
      </c>
      <c r="H97" s="167">
        <f t="shared" si="37"/>
        <v>0</v>
      </c>
      <c r="I97" s="167"/>
      <c r="J97" s="167">
        <f>+VLOOKUP($C97,'Master Data'!$B$433:$N$449,4,FALSE)</f>
        <v>0</v>
      </c>
      <c r="K97" s="167">
        <f>+VLOOKUP($C97,'Master Data'!$B$433:$N$449,5,FALSE)</f>
        <v>0</v>
      </c>
      <c r="L97" s="167"/>
      <c r="M97" s="167">
        <f>+VLOOKUP($C97,'Master Data'!$B$433:$N$449,7,FALSE)</f>
        <v>0</v>
      </c>
      <c r="N97" s="167">
        <f>+VLOOKUP($C97,'Master Data'!$B$433:$N$449,8,FALSE)</f>
        <v>3500</v>
      </c>
      <c r="O97" s="167"/>
      <c r="P97" s="167">
        <f>+VLOOKUP($C97,'Master Data'!$B$433:$N$449,10,FALSE)</f>
        <v>3500</v>
      </c>
      <c r="Q97" s="167">
        <f>+VLOOKUP($C97,'Master Data'!$B$433:$N$449,11,FALSE)</f>
        <v>0</v>
      </c>
      <c r="R97" s="167"/>
      <c r="S97" s="167">
        <f>+VLOOKUP($C97,'Master Data'!$B$433:$N$449,13,FALSE)</f>
        <v>0</v>
      </c>
      <c r="T97" s="167">
        <f t="shared" si="38"/>
        <v>183500</v>
      </c>
      <c r="U97" s="167">
        <f t="shared" si="42"/>
        <v>192500</v>
      </c>
      <c r="V97" s="167">
        <f t="shared" si="39"/>
        <v>183.5</v>
      </c>
      <c r="W97" s="169">
        <f t="shared" si="40"/>
        <v>192.5</v>
      </c>
    </row>
    <row r="98" spans="1:25" ht="20" customHeight="1">
      <c r="A98" s="161">
        <f t="shared" si="44"/>
        <v>77</v>
      </c>
      <c r="B98" s="88" t="s">
        <v>104</v>
      </c>
      <c r="C98" s="88" t="s">
        <v>404</v>
      </c>
      <c r="D98" s="167">
        <f>+VLOOKUP($B98,'Master Data'!$B$453:$R$543,MATCH('Master Data'!$C98,'Master Data'!$B$453:$R$453,0),FALSE)</f>
        <v>0</v>
      </c>
      <c r="E98" s="326">
        <f t="shared" si="45"/>
        <v>0</v>
      </c>
      <c r="F98" s="80">
        <f t="shared" si="43"/>
        <v>0</v>
      </c>
      <c r="G98" s="167">
        <f t="shared" si="41"/>
        <v>0</v>
      </c>
      <c r="H98" s="167">
        <f t="shared" si="37"/>
        <v>0</v>
      </c>
      <c r="I98" s="167"/>
      <c r="J98" s="167">
        <f>+VLOOKUP($C98,'Master Data'!$B$433:$N$449,4,FALSE)</f>
        <v>0</v>
      </c>
      <c r="K98" s="167">
        <f>+VLOOKUP($C98,'Master Data'!$B$433:$N$449,5,FALSE)</f>
        <v>0</v>
      </c>
      <c r="L98" s="167"/>
      <c r="M98" s="167">
        <f>+VLOOKUP($C98,'Master Data'!$B$433:$N$449,7,FALSE)</f>
        <v>0</v>
      </c>
      <c r="N98" s="167">
        <f>+VLOOKUP($C98,'Master Data'!$B$433:$N$449,8,FALSE)</f>
        <v>0</v>
      </c>
      <c r="O98" s="167"/>
      <c r="P98" s="167">
        <f>+VLOOKUP($C98,'Master Data'!$B$433:$N$449,10,FALSE)</f>
        <v>0</v>
      </c>
      <c r="Q98" s="167">
        <f>+VLOOKUP($C98,'Master Data'!$B$433:$N$449,11,FALSE)</f>
        <v>4</v>
      </c>
      <c r="R98" s="167"/>
      <c r="S98" s="167">
        <f>+VLOOKUP($C98,'Master Data'!$B$433:$N$449,13,FALSE)</f>
        <v>4</v>
      </c>
      <c r="T98" s="167">
        <f t="shared" si="38"/>
        <v>0</v>
      </c>
      <c r="U98" s="167">
        <f t="shared" si="42"/>
        <v>0</v>
      </c>
      <c r="V98" s="167">
        <f t="shared" si="39"/>
        <v>0</v>
      </c>
      <c r="W98" s="169">
        <f t="shared" si="40"/>
        <v>0</v>
      </c>
    </row>
    <row r="99" spans="1:25" ht="20" customHeight="1">
      <c r="A99" s="161">
        <f t="shared" si="44"/>
        <v>78</v>
      </c>
      <c r="B99" s="88" t="s">
        <v>13</v>
      </c>
      <c r="C99" s="88" t="s">
        <v>366</v>
      </c>
      <c r="D99" s="167">
        <f>+VLOOKUP($B99,'Master Data'!$B$453:$R$543,MATCH('Master Data'!$C99,'Master Data'!$B$453:$R$453,0),FALSE)</f>
        <v>511</v>
      </c>
      <c r="E99" s="326">
        <f t="shared" si="45"/>
        <v>25.55</v>
      </c>
      <c r="F99" s="80">
        <f t="shared" si="43"/>
        <v>4.0880000000000001</v>
      </c>
      <c r="G99" s="167">
        <f t="shared" si="41"/>
        <v>540.63799999999992</v>
      </c>
      <c r="H99" s="167">
        <f t="shared" si="37"/>
        <v>0.6</v>
      </c>
      <c r="I99" s="167"/>
      <c r="J99" s="167">
        <f>+VLOOKUP($C99,'Master Data'!$B$433:$N$449,4,FALSE)</f>
        <v>0.6</v>
      </c>
      <c r="K99" s="167">
        <f>+VLOOKUP($C99,'Master Data'!$B$433:$N$449,5,FALSE)</f>
        <v>0</v>
      </c>
      <c r="L99" s="167"/>
      <c r="M99" s="167">
        <f>+VLOOKUP($C99,'Master Data'!$B$433:$N$449,7,FALSE)</f>
        <v>0</v>
      </c>
      <c r="N99" s="167">
        <f>+VLOOKUP($C99,'Master Data'!$B$433:$N$449,8,FALSE)</f>
        <v>8</v>
      </c>
      <c r="O99" s="167"/>
      <c r="P99" s="167">
        <f>+VLOOKUP($C99,'Master Data'!$B$433:$N$449,10,FALSE)</f>
        <v>0</v>
      </c>
      <c r="Q99" s="167">
        <f>+VLOOKUP($C99,'Master Data'!$B$433:$N$449,11,FALSE)</f>
        <v>0</v>
      </c>
      <c r="R99" s="167"/>
      <c r="S99" s="167">
        <f>+VLOOKUP($C99,'Master Data'!$B$433:$N$449,13,FALSE)</f>
        <v>3</v>
      </c>
      <c r="T99" s="167">
        <f t="shared" si="38"/>
        <v>519.6</v>
      </c>
      <c r="U99" s="167">
        <f t="shared" si="42"/>
        <v>544.23799999999994</v>
      </c>
      <c r="V99" s="167">
        <f t="shared" si="39"/>
        <v>0.51960000000000006</v>
      </c>
      <c r="W99" s="169">
        <f t="shared" si="40"/>
        <v>0.54423799999999989</v>
      </c>
    </row>
    <row r="100" spans="1:25" ht="20" customHeight="1">
      <c r="A100" s="161">
        <f t="shared" si="44"/>
        <v>79</v>
      </c>
      <c r="B100" s="88" t="s">
        <v>17</v>
      </c>
      <c r="C100" s="88" t="s">
        <v>366</v>
      </c>
      <c r="D100" s="167">
        <f>+VLOOKUP($B100,'Master Data'!$B$453:$R$543,MATCH('Master Data'!$C100,'Master Data'!$B$453:$R$453,0),FALSE)</f>
        <v>475</v>
      </c>
      <c r="E100" s="326">
        <f t="shared" si="45"/>
        <v>23.75</v>
      </c>
      <c r="F100" s="80">
        <f t="shared" si="43"/>
        <v>3.8000000000000003</v>
      </c>
      <c r="G100" s="167">
        <f t="shared" si="41"/>
        <v>502.55</v>
      </c>
      <c r="H100" s="167">
        <f t="shared" si="37"/>
        <v>0.6</v>
      </c>
      <c r="I100" s="167"/>
      <c r="J100" s="167">
        <f>+VLOOKUP($C100,'Master Data'!$B$433:$N$449,4,FALSE)</f>
        <v>0.6</v>
      </c>
      <c r="K100" s="167">
        <f>+VLOOKUP($C100,'Master Data'!$B$433:$N$449,5,FALSE)</f>
        <v>0</v>
      </c>
      <c r="L100" s="167"/>
      <c r="M100" s="167">
        <f>+VLOOKUP($C100,'Master Data'!$B$433:$N$449,7,FALSE)</f>
        <v>0</v>
      </c>
      <c r="N100" s="167">
        <f>+VLOOKUP($C100,'Master Data'!$B$433:$N$449,8,FALSE)</f>
        <v>8</v>
      </c>
      <c r="O100" s="167"/>
      <c r="P100" s="167">
        <f>+VLOOKUP($C100,'Master Data'!$B$433:$N$449,10,FALSE)</f>
        <v>0</v>
      </c>
      <c r="Q100" s="167">
        <f>+VLOOKUP($C100,'Master Data'!$B$433:$N$449,11,FALSE)</f>
        <v>0</v>
      </c>
      <c r="R100" s="167"/>
      <c r="S100" s="167">
        <f>+VLOOKUP($C100,'Master Data'!$B$433:$N$449,13,FALSE)</f>
        <v>3</v>
      </c>
      <c r="T100" s="167">
        <f t="shared" si="38"/>
        <v>483.6</v>
      </c>
      <c r="U100" s="167">
        <f t="shared" si="42"/>
        <v>506.15000000000003</v>
      </c>
      <c r="V100" s="167">
        <f t="shared" si="39"/>
        <v>0.48360000000000003</v>
      </c>
      <c r="W100" s="169">
        <f t="shared" si="40"/>
        <v>0.50614999999999999</v>
      </c>
    </row>
    <row r="101" spans="1:25" ht="20" customHeight="1">
      <c r="A101" s="161">
        <f t="shared" si="44"/>
        <v>80</v>
      </c>
      <c r="B101" s="88" t="s">
        <v>71</v>
      </c>
      <c r="C101" s="88" t="s">
        <v>84</v>
      </c>
      <c r="D101" s="167">
        <f>+VLOOKUP($B101,'Master Data'!$B$453:$R$543,MATCH('Master Data'!$C101,'Master Data'!$B$453:$R$453,0),FALSE)</f>
        <v>475</v>
      </c>
      <c r="E101" s="326">
        <f t="shared" si="45"/>
        <v>0</v>
      </c>
      <c r="F101" s="80">
        <f t="shared" si="43"/>
        <v>0</v>
      </c>
      <c r="G101" s="167">
        <f t="shared" si="41"/>
        <v>475</v>
      </c>
      <c r="H101" s="167">
        <f t="shared" si="37"/>
        <v>0</v>
      </c>
      <c r="I101" s="167"/>
      <c r="J101" s="167">
        <f>+VLOOKUP($C101,'Master Data'!$B$433:$N$449,4,FALSE)</f>
        <v>0</v>
      </c>
      <c r="K101" s="167">
        <f>+VLOOKUP($C101,'Master Data'!$B$433:$N$449,5,FALSE)</f>
        <v>0</v>
      </c>
      <c r="L101" s="167"/>
      <c r="M101" s="167">
        <f>+VLOOKUP($C101,'Master Data'!$B$433:$N$449,7,FALSE)</f>
        <v>0</v>
      </c>
      <c r="N101" s="167">
        <f>+VLOOKUP($C101,'Master Data'!$B$433:$N$449,8,FALSE)</f>
        <v>0</v>
      </c>
      <c r="O101" s="167"/>
      <c r="P101" s="167">
        <f>+VLOOKUP($C101,'Master Data'!$B$433:$N$449,10,FALSE)</f>
        <v>0</v>
      </c>
      <c r="Q101" s="167">
        <f>+VLOOKUP($C101,'Master Data'!$B$433:$N$449,11,FALSE)</f>
        <v>0</v>
      </c>
      <c r="R101" s="167"/>
      <c r="S101" s="167">
        <f>+VLOOKUP($C101,'Master Data'!$B$433:$N$449,13,FALSE)</f>
        <v>0</v>
      </c>
      <c r="T101" s="167">
        <f t="shared" si="38"/>
        <v>475</v>
      </c>
      <c r="U101" s="167">
        <f t="shared" si="42"/>
        <v>475</v>
      </c>
      <c r="V101" s="167">
        <f t="shared" si="39"/>
        <v>0.47499999999999998</v>
      </c>
      <c r="W101" s="169">
        <f t="shared" si="40"/>
        <v>0.47499999999999998</v>
      </c>
    </row>
    <row r="102" spans="1:25" ht="20" customHeight="1">
      <c r="A102" s="161">
        <f t="shared" si="44"/>
        <v>81</v>
      </c>
      <c r="B102" s="182" t="s">
        <v>47</v>
      </c>
      <c r="C102" s="88" t="s">
        <v>78</v>
      </c>
      <c r="D102" s="167">
        <f>+VLOOKUP($B102,'Master Data'!$B$453:$R$543,MATCH('Master Data'!$C102,'Master Data'!$B$453:$R$453,0),FALSE)</f>
        <v>28</v>
      </c>
      <c r="E102" s="168">
        <v>0</v>
      </c>
      <c r="F102" s="80">
        <f t="shared" si="43"/>
        <v>0</v>
      </c>
      <c r="G102" s="167">
        <f t="shared" si="41"/>
        <v>28</v>
      </c>
      <c r="H102" s="167">
        <f t="shared" si="37"/>
        <v>0</v>
      </c>
      <c r="I102" s="167"/>
      <c r="J102" s="167">
        <f>+VLOOKUP($C102,'Master Data'!$B$433:$N$449,4,FALSE)</f>
        <v>0</v>
      </c>
      <c r="K102" s="167">
        <f>+VLOOKUP($C102,'Master Data'!$B$433:$N$449,5,FALSE)</f>
        <v>0</v>
      </c>
      <c r="L102" s="167"/>
      <c r="M102" s="167">
        <f>+VLOOKUP($C102,'Master Data'!$B$433:$N$449,7,FALSE)</f>
        <v>0</v>
      </c>
      <c r="N102" s="167">
        <f>+VLOOKUP($C102,'Master Data'!$B$433:$N$449,8,FALSE)</f>
        <v>0</v>
      </c>
      <c r="O102" s="167"/>
      <c r="P102" s="167">
        <f>+VLOOKUP($C102,'Master Data'!$B$433:$N$449,10,FALSE)</f>
        <v>0</v>
      </c>
      <c r="Q102" s="167">
        <f>+VLOOKUP($C102,'Master Data'!$B$433:$N$449,11,FALSE)</f>
        <v>4</v>
      </c>
      <c r="R102" s="167"/>
      <c r="S102" s="167">
        <f>+VLOOKUP($C102,'Master Data'!$B$433:$N$449,13,FALSE)</f>
        <v>4</v>
      </c>
      <c r="T102" s="167">
        <f t="shared" si="38"/>
        <v>32</v>
      </c>
      <c r="U102" s="167">
        <f t="shared" si="42"/>
        <v>32</v>
      </c>
      <c r="V102" s="167">
        <f t="shared" si="39"/>
        <v>3.2000000000000001E-2</v>
      </c>
      <c r="W102" s="169">
        <f t="shared" si="40"/>
        <v>3.2000000000000001E-2</v>
      </c>
    </row>
    <row r="103" spans="1:25" ht="20" customHeight="1">
      <c r="A103" s="161">
        <f t="shared" si="44"/>
        <v>82</v>
      </c>
      <c r="B103" s="88" t="s">
        <v>187</v>
      </c>
      <c r="C103" s="88" t="s">
        <v>93</v>
      </c>
      <c r="D103" s="167">
        <f>+VLOOKUP($B103,'Master Data'!$B$453:$R$543,MATCH('Master Data'!$C103,'Master Data'!$B$453:$R$453,0),FALSE)</f>
        <v>195</v>
      </c>
      <c r="E103" s="326">
        <f>INDEX($AG$434:$AH$448,MATCH($C103,$AG$434:$AG$448,0),2)*D103</f>
        <v>0</v>
      </c>
      <c r="F103" s="80">
        <f t="shared" si="43"/>
        <v>0</v>
      </c>
      <c r="G103" s="167">
        <f t="shared" si="41"/>
        <v>195</v>
      </c>
      <c r="H103" s="167">
        <f t="shared" si="37"/>
        <v>0</v>
      </c>
      <c r="I103" s="167"/>
      <c r="J103" s="167">
        <f>+VLOOKUP($C103,'Master Data'!$B$433:$N$449,4,FALSE)</f>
        <v>0</v>
      </c>
      <c r="K103" s="167">
        <f>+VLOOKUP($C103,'Master Data'!$B$433:$N$449,5,FALSE)</f>
        <v>0</v>
      </c>
      <c r="L103" s="167"/>
      <c r="M103" s="167">
        <f>+VLOOKUP($C103,'Master Data'!$B$433:$N$449,7,FALSE)</f>
        <v>0</v>
      </c>
      <c r="N103" s="167">
        <f>+VLOOKUP($C103,'Master Data'!$B$433:$N$449,8,FALSE)</f>
        <v>20</v>
      </c>
      <c r="O103" s="167"/>
      <c r="P103" s="167">
        <f>+VLOOKUP($C103,'Master Data'!$B$433:$N$449,10,FALSE)</f>
        <v>20</v>
      </c>
      <c r="Q103" s="167">
        <f>+VLOOKUP($C103,'Master Data'!$B$433:$N$449,11,FALSE)</f>
        <v>2</v>
      </c>
      <c r="R103" s="167"/>
      <c r="S103" s="167">
        <f>+VLOOKUP($C103,'Master Data'!$B$433:$N$449,13,FALSE)</f>
        <v>2</v>
      </c>
      <c r="T103" s="167">
        <f t="shared" si="38"/>
        <v>217</v>
      </c>
      <c r="U103" s="167">
        <f t="shared" si="42"/>
        <v>217</v>
      </c>
      <c r="V103" s="167">
        <f t="shared" si="39"/>
        <v>0.217</v>
      </c>
      <c r="W103" s="169">
        <f t="shared" si="40"/>
        <v>0.217</v>
      </c>
    </row>
    <row r="104" spans="1:25" ht="20" customHeight="1">
      <c r="A104" s="161">
        <f>+A103+1</f>
        <v>83</v>
      </c>
      <c r="B104" s="88" t="s">
        <v>189</v>
      </c>
      <c r="C104" s="88" t="s">
        <v>116</v>
      </c>
      <c r="D104" s="167">
        <f>+VLOOKUP($B104,'Master Data'!$B$453:$R$543,MATCH('Master Data'!$C104,'Master Data'!$B$453:$R$453,0),FALSE)</f>
        <v>430</v>
      </c>
      <c r="E104" s="326">
        <f>INDEX($AG$434:$AH$448,MATCH($C104,$AG$434:$AG$448,0),2)*D104</f>
        <v>21.5</v>
      </c>
      <c r="F104" s="80">
        <f t="shared" si="43"/>
        <v>0</v>
      </c>
      <c r="G104" s="167">
        <f t="shared" si="41"/>
        <v>451.5</v>
      </c>
      <c r="H104" s="167">
        <f t="shared" si="37"/>
        <v>0</v>
      </c>
      <c r="I104" s="167"/>
      <c r="J104" s="167">
        <f>+VLOOKUP($C104,'Master Data'!$B$433:$N$449,4,FALSE)</f>
        <v>0</v>
      </c>
      <c r="K104" s="167">
        <f>+VLOOKUP($C104,'Master Data'!$B$433:$N$449,5,FALSE)</f>
        <v>0</v>
      </c>
      <c r="L104" s="167"/>
      <c r="M104" s="167">
        <f>+VLOOKUP($C104,'Master Data'!$B$433:$N$449,7,FALSE)</f>
        <v>0</v>
      </c>
      <c r="N104" s="167">
        <f>+VLOOKUP($C104,'Master Data'!$B$433:$N$449,8,FALSE)</f>
        <v>0</v>
      </c>
      <c r="O104" s="167"/>
      <c r="P104" s="167">
        <f>+VLOOKUP($C104,'Master Data'!$B$433:$N$449,10,FALSE)</f>
        <v>0</v>
      </c>
      <c r="Q104" s="167">
        <f>+VLOOKUP($C104,'Master Data'!$B$433:$N$449,11,FALSE)</f>
        <v>17</v>
      </c>
      <c r="R104" s="167"/>
      <c r="S104" s="167">
        <f>+VLOOKUP($C104,'Master Data'!$B$433:$N$449,13,FALSE)</f>
        <v>17</v>
      </c>
      <c r="T104" s="167">
        <f t="shared" si="38"/>
        <v>447</v>
      </c>
      <c r="U104" s="167">
        <f t="shared" si="42"/>
        <v>468.5</v>
      </c>
      <c r="V104" s="167">
        <f t="shared" si="39"/>
        <v>0.44700000000000001</v>
      </c>
      <c r="W104" s="169">
        <f t="shared" si="40"/>
        <v>0.46850000000000003</v>
      </c>
    </row>
    <row r="105" spans="1:25" ht="20" customHeight="1">
      <c r="A105" s="161">
        <f t="shared" si="44"/>
        <v>84</v>
      </c>
      <c r="B105" s="214" t="s">
        <v>553</v>
      </c>
      <c r="C105" s="91" t="s">
        <v>93</v>
      </c>
      <c r="D105" s="167">
        <f>+VLOOKUP($B105,'Master Data'!$B$453:$R$543,MATCH('Master Data'!$C105,'Master Data'!$B$453:$R$453,0),FALSE)</f>
        <v>300</v>
      </c>
      <c r="E105" s="326">
        <f>INDEX($AG$434:$AH$448,MATCH($C105,$AG$434:$AG$448,0),2)*D105</f>
        <v>0</v>
      </c>
      <c r="F105" s="80">
        <f>IF(C105="Ali kikabai",D105*0.008,0)</f>
        <v>0</v>
      </c>
      <c r="G105" s="167">
        <f>+D105+E105+F105</f>
        <v>300</v>
      </c>
      <c r="H105" s="167">
        <f t="shared" si="37"/>
        <v>0</v>
      </c>
      <c r="I105" s="167"/>
      <c r="J105" s="167">
        <f>+VLOOKUP($C105,'Master Data'!$B$433:$N$449,4,FALSE)</f>
        <v>0</v>
      </c>
      <c r="K105" s="167">
        <f>+VLOOKUP($C105,'Master Data'!$B$433:$N$449,5,FALSE)</f>
        <v>0</v>
      </c>
      <c r="L105" s="167"/>
      <c r="M105" s="167">
        <f>+VLOOKUP($C105,'Master Data'!$B$433:$N$449,7,FALSE)</f>
        <v>0</v>
      </c>
      <c r="N105" s="167">
        <f>+VLOOKUP($C105,'Master Data'!$B$433:$N$449,8,FALSE)</f>
        <v>20</v>
      </c>
      <c r="O105" s="167"/>
      <c r="P105" s="167">
        <f>+VLOOKUP($C105,'Master Data'!$B$433:$N$449,10,FALSE)</f>
        <v>20</v>
      </c>
      <c r="Q105" s="167">
        <f>+VLOOKUP($C105,'Master Data'!$B$433:$N$449,11,FALSE)</f>
        <v>2</v>
      </c>
      <c r="R105" s="167"/>
      <c r="S105" s="167">
        <f>+VLOOKUP($C105,'Master Data'!$B$433:$N$449,13,FALSE)</f>
        <v>2</v>
      </c>
      <c r="T105" s="167">
        <f>IF(D105=0,0,$D105+$H105+$K105+$N105+$Q105)</f>
        <v>322</v>
      </c>
      <c r="U105" s="167">
        <f>IF(G105=0,0,G105+J105+M105+P105+S105)</f>
        <v>322</v>
      </c>
      <c r="V105" s="167">
        <f>+$T105/1000</f>
        <v>0.32200000000000001</v>
      </c>
      <c r="W105" s="169">
        <f>+$U105/1000</f>
        <v>0.32200000000000001</v>
      </c>
    </row>
    <row r="106" spans="1:25" ht="20" customHeight="1">
      <c r="A106" s="161">
        <f t="shared" si="44"/>
        <v>85</v>
      </c>
      <c r="B106" s="214" t="s">
        <v>217</v>
      </c>
      <c r="C106" s="91" t="s">
        <v>93</v>
      </c>
      <c r="D106" s="167">
        <f>+VLOOKUP($B106,'Master Data'!$B$453:$R$543,MATCH('Master Data'!$C106,'Master Data'!$B$453:$R$453,0),FALSE)</f>
        <v>300</v>
      </c>
      <c r="E106" s="326">
        <f>INDEX($AG$434:$AH$448,MATCH($C106,$AG$434:$AG$448,0),2)*D106</f>
        <v>0</v>
      </c>
      <c r="F106" s="80">
        <f t="shared" si="43"/>
        <v>0</v>
      </c>
      <c r="G106" s="167">
        <f t="shared" si="41"/>
        <v>300</v>
      </c>
      <c r="H106" s="167">
        <f t="shared" si="37"/>
        <v>0</v>
      </c>
      <c r="I106" s="167"/>
      <c r="J106" s="167">
        <f>+VLOOKUP($C106,'Master Data'!$B$433:$N$449,4,FALSE)</f>
        <v>0</v>
      </c>
      <c r="K106" s="167">
        <f>+VLOOKUP($C106,'Master Data'!$B$433:$N$449,5,FALSE)</f>
        <v>0</v>
      </c>
      <c r="L106" s="167"/>
      <c r="M106" s="167">
        <f>+VLOOKUP($C106,'Master Data'!$B$433:$N$449,7,FALSE)</f>
        <v>0</v>
      </c>
      <c r="N106" s="167">
        <f>+VLOOKUP($C106,'Master Data'!$B$433:$N$449,8,FALSE)</f>
        <v>20</v>
      </c>
      <c r="O106" s="167"/>
      <c r="P106" s="167">
        <f>+VLOOKUP($C106,'Master Data'!$B$433:$N$449,10,FALSE)</f>
        <v>20</v>
      </c>
      <c r="Q106" s="167">
        <f>+VLOOKUP($C106,'Master Data'!$B$433:$N$449,11,FALSE)</f>
        <v>2</v>
      </c>
      <c r="R106" s="167"/>
      <c r="S106" s="167">
        <f>+VLOOKUP($C106,'Master Data'!$B$433:$N$449,13,FALSE)</f>
        <v>2</v>
      </c>
      <c r="T106" s="167">
        <f t="shared" si="38"/>
        <v>322</v>
      </c>
      <c r="U106" s="167">
        <f t="shared" si="42"/>
        <v>322</v>
      </c>
      <c r="V106" s="167">
        <f t="shared" si="39"/>
        <v>0.32200000000000001</v>
      </c>
      <c r="W106" s="169">
        <f t="shared" si="40"/>
        <v>0.32200000000000001</v>
      </c>
    </row>
    <row r="107" spans="1:25" ht="20" customHeight="1">
      <c r="A107" s="161">
        <f t="shared" si="44"/>
        <v>86</v>
      </c>
      <c r="B107" s="88" t="s">
        <v>115</v>
      </c>
      <c r="C107" s="88" t="s">
        <v>404</v>
      </c>
      <c r="D107" s="167">
        <f>+VLOOKUP($B107,'Master Data'!$B$453:$R$543,MATCH('Master Data'!$C107,'Master Data'!$B$453:$R$453,0),FALSE)</f>
        <v>800</v>
      </c>
      <c r="E107" s="326">
        <f>INDEX($AG$434:$AH$448,MATCH($C107,$AG$434:$AG$448,0),2)*D107</f>
        <v>40</v>
      </c>
      <c r="F107" s="80">
        <f t="shared" si="43"/>
        <v>0</v>
      </c>
      <c r="G107" s="167">
        <f t="shared" si="41"/>
        <v>840</v>
      </c>
      <c r="H107" s="167">
        <f t="shared" si="37"/>
        <v>0</v>
      </c>
      <c r="I107" s="167"/>
      <c r="J107" s="167">
        <f>+VLOOKUP($C107,'Master Data'!$B$433:$N$449,4,FALSE)</f>
        <v>0</v>
      </c>
      <c r="K107" s="167">
        <f>+VLOOKUP($C107,'Master Data'!$B$433:$N$449,5,FALSE)</f>
        <v>0</v>
      </c>
      <c r="L107" s="167"/>
      <c r="M107" s="167">
        <f>+VLOOKUP($C107,'Master Data'!$B$433:$N$449,7,FALSE)</f>
        <v>0</v>
      </c>
      <c r="N107" s="167">
        <f>+VLOOKUP($C107,'Master Data'!$B$433:$N$449,8,FALSE)</f>
        <v>0</v>
      </c>
      <c r="O107" s="167"/>
      <c r="P107" s="167">
        <f>+VLOOKUP($C107,'Master Data'!$B$433:$N$449,10,FALSE)</f>
        <v>0</v>
      </c>
      <c r="Q107" s="167">
        <f>+VLOOKUP($C107,'Master Data'!$B$433:$N$449,11,FALSE)</f>
        <v>4</v>
      </c>
      <c r="R107" s="167"/>
      <c r="S107" s="167">
        <f>+VLOOKUP($C107,'Master Data'!$B$433:$N$449,13,FALSE)</f>
        <v>4</v>
      </c>
      <c r="T107" s="167">
        <f t="shared" si="38"/>
        <v>804</v>
      </c>
      <c r="U107" s="167">
        <f t="shared" si="42"/>
        <v>844</v>
      </c>
      <c r="V107" s="167">
        <f t="shared" si="39"/>
        <v>0.80400000000000005</v>
      </c>
      <c r="W107" s="169">
        <f t="shared" si="40"/>
        <v>0.84399999999999997</v>
      </c>
    </row>
    <row r="108" spans="1:25" ht="20" customHeight="1" thickBot="1">
      <c r="A108" s="161">
        <f t="shared" si="44"/>
        <v>87</v>
      </c>
      <c r="B108" s="182" t="s">
        <v>58</v>
      </c>
      <c r="C108" s="88" t="s">
        <v>78</v>
      </c>
      <c r="D108" s="167">
        <f>+VLOOKUP($B108,'Master Data'!$B$453:$R$543,MATCH('Master Data'!$C108,'Master Data'!$B$453:$R$453,0),FALSE)</f>
        <v>48</v>
      </c>
      <c r="E108" s="168">
        <v>0</v>
      </c>
      <c r="F108" s="80">
        <f t="shared" si="43"/>
        <v>0</v>
      </c>
      <c r="G108" s="167">
        <f t="shared" si="41"/>
        <v>48</v>
      </c>
      <c r="H108" s="167">
        <f t="shared" si="37"/>
        <v>0</v>
      </c>
      <c r="I108" s="167"/>
      <c r="J108" s="167">
        <f>+VLOOKUP($C108,'Master Data'!$B$433:$N$449,4,FALSE)</f>
        <v>0</v>
      </c>
      <c r="K108" s="167">
        <f>+VLOOKUP($C108,'Master Data'!$B$433:$N$449,5,FALSE)</f>
        <v>0</v>
      </c>
      <c r="L108" s="167"/>
      <c r="M108" s="167">
        <f>+VLOOKUP($C108,'Master Data'!$B$433:$N$449,7,FALSE)</f>
        <v>0</v>
      </c>
      <c r="N108" s="167">
        <f>+VLOOKUP($C108,'Master Data'!$B$433:$N$449,8,FALSE)</f>
        <v>0</v>
      </c>
      <c r="O108" s="167"/>
      <c r="P108" s="167">
        <f>+VLOOKUP($C108,'Master Data'!$B$433:$N$449,10,FALSE)</f>
        <v>0</v>
      </c>
      <c r="Q108" s="167">
        <f>+VLOOKUP($C108,'Master Data'!$B$433:$N$449,11,FALSE)</f>
        <v>4</v>
      </c>
      <c r="R108" s="167"/>
      <c r="S108" s="167">
        <f>+VLOOKUP($C108,'Master Data'!$B$433:$N$449,13,FALSE)</f>
        <v>4</v>
      </c>
      <c r="T108" s="167">
        <f t="shared" si="38"/>
        <v>52</v>
      </c>
      <c r="U108" s="167">
        <f t="shared" si="42"/>
        <v>52</v>
      </c>
      <c r="V108" s="167">
        <f t="shared" si="39"/>
        <v>5.1999999999999998E-2</v>
      </c>
      <c r="W108" s="169">
        <f t="shared" si="40"/>
        <v>5.1999999999999998E-2</v>
      </c>
    </row>
    <row r="109" spans="1:25" ht="33" customHeight="1">
      <c r="A109" s="161">
        <f t="shared" si="44"/>
        <v>88</v>
      </c>
      <c r="B109" s="182" t="s">
        <v>57</v>
      </c>
      <c r="C109" s="88" t="s">
        <v>78</v>
      </c>
      <c r="D109" s="167">
        <f>+VLOOKUP($B109,'Master Data'!$B$453:$R$543,MATCH('Master Data'!$C109,'Master Data'!$B$453:$R$453,0),FALSE)</f>
        <v>208</v>
      </c>
      <c r="E109" s="168">
        <v>0</v>
      </c>
      <c r="F109" s="80">
        <f t="shared" si="43"/>
        <v>0</v>
      </c>
      <c r="G109" s="167">
        <f t="shared" si="41"/>
        <v>208</v>
      </c>
      <c r="H109" s="167">
        <f t="shared" si="37"/>
        <v>0</v>
      </c>
      <c r="I109" s="167"/>
      <c r="J109" s="167">
        <f>+VLOOKUP($C109,'Master Data'!$B$433:$N$449,4,FALSE)</f>
        <v>0</v>
      </c>
      <c r="K109" s="167">
        <f>+VLOOKUP($C109,'Master Data'!$B$433:$N$449,5,FALSE)</f>
        <v>0</v>
      </c>
      <c r="L109" s="167"/>
      <c r="M109" s="167">
        <f>+VLOOKUP($C109,'Master Data'!$B$433:$N$449,7,FALSE)</f>
        <v>0</v>
      </c>
      <c r="N109" s="167">
        <f>+VLOOKUP($C109,'Master Data'!$B$433:$N$449,8,FALSE)</f>
        <v>0</v>
      </c>
      <c r="O109" s="167"/>
      <c r="P109" s="167">
        <f>+VLOOKUP($C109,'Master Data'!$B$433:$N$449,10,FALSE)</f>
        <v>0</v>
      </c>
      <c r="Q109" s="167">
        <f>+VLOOKUP($C109,'Master Data'!$B$433:$N$449,11,FALSE)</f>
        <v>4</v>
      </c>
      <c r="R109" s="167"/>
      <c r="S109" s="167">
        <f>+VLOOKUP($C109,'Master Data'!$B$433:$N$449,13,FALSE)</f>
        <v>4</v>
      </c>
      <c r="T109" s="167">
        <f t="shared" si="38"/>
        <v>212</v>
      </c>
      <c r="U109" s="167">
        <f t="shared" si="42"/>
        <v>212</v>
      </c>
      <c r="V109" s="167">
        <f t="shared" si="39"/>
        <v>0.21199999999999999</v>
      </c>
      <c r="W109" s="175">
        <f t="shared" si="40"/>
        <v>0.21199999999999999</v>
      </c>
      <c r="X109" s="391" t="s">
        <v>382</v>
      </c>
      <c r="Y109" s="392"/>
    </row>
    <row r="110" spans="1:25" ht="20" customHeight="1">
      <c r="A110" s="161">
        <f t="shared" si="44"/>
        <v>89</v>
      </c>
      <c r="B110" s="88" t="s">
        <v>272</v>
      </c>
      <c r="C110" s="88" t="s">
        <v>78</v>
      </c>
      <c r="D110" s="167">
        <f>+VLOOKUP($B110,'Master Data'!$B$453:$R$543,MATCH('Master Data'!$C110,'Master Data'!$B$453:$R$453,0),FALSE)</f>
        <v>1409.5238095238094</v>
      </c>
      <c r="E110" s="326">
        <f>INDEX($AG$434:$AH$448,MATCH($C110,$AG$434:$AG$448,0),2)*D110</f>
        <v>70.476190476190467</v>
      </c>
      <c r="F110" s="80">
        <f t="shared" si="43"/>
        <v>0</v>
      </c>
      <c r="G110" s="167">
        <f t="shared" si="41"/>
        <v>1479.9999999999998</v>
      </c>
      <c r="H110" s="167">
        <f t="shared" si="37"/>
        <v>0</v>
      </c>
      <c r="I110" s="167"/>
      <c r="J110" s="167">
        <f>+VLOOKUP($C110,'Master Data'!$B$433:$N$449,4,FALSE)</f>
        <v>0</v>
      </c>
      <c r="K110" s="167">
        <f>+VLOOKUP($C110,'Master Data'!$B$433:$N$449,5,FALSE)</f>
        <v>0</v>
      </c>
      <c r="L110" s="167"/>
      <c r="M110" s="167">
        <f>+VLOOKUP($C110,'Master Data'!$B$433:$N$449,7,FALSE)</f>
        <v>0</v>
      </c>
      <c r="N110" s="167">
        <f>+VLOOKUP($C110,'Master Data'!$B$433:$N$449,8,FALSE)</f>
        <v>0</v>
      </c>
      <c r="O110" s="167"/>
      <c r="P110" s="167">
        <f>+VLOOKUP($C110,'Master Data'!$B$433:$N$449,10,FALSE)</f>
        <v>0</v>
      </c>
      <c r="Q110" s="167">
        <f>+VLOOKUP($C110,'Master Data'!$B$433:$N$449,11,FALSE)</f>
        <v>4</v>
      </c>
      <c r="R110" s="167"/>
      <c r="S110" s="167">
        <f>+VLOOKUP($C110,'Master Data'!$B$433:$N$449,13,FALSE)</f>
        <v>4</v>
      </c>
      <c r="T110" s="167">
        <f t="shared" si="38"/>
        <v>1413.5238095238094</v>
      </c>
      <c r="U110" s="167">
        <f t="shared" si="42"/>
        <v>1483.9999999999998</v>
      </c>
      <c r="V110" s="167">
        <f t="shared" si="39"/>
        <v>1.4135238095238094</v>
      </c>
      <c r="W110" s="175">
        <f t="shared" si="40"/>
        <v>1.4839999999999998</v>
      </c>
      <c r="X110" s="176" t="s">
        <v>332</v>
      </c>
      <c r="Y110" s="174">
        <v>12000</v>
      </c>
    </row>
    <row r="111" spans="1:25" ht="20" customHeight="1">
      <c r="A111" s="161">
        <f t="shared" si="44"/>
        <v>90</v>
      </c>
      <c r="B111" s="88" t="s">
        <v>125</v>
      </c>
      <c r="C111" s="90"/>
      <c r="D111" s="167">
        <f>Y115</f>
        <v>3.0769230769230771</v>
      </c>
      <c r="E111" s="326"/>
      <c r="F111" s="80"/>
      <c r="G111" s="167">
        <f t="shared" ref="G111:G148" si="46">+D111+E111</f>
        <v>3.0769230769230771</v>
      </c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>
        <f t="shared" si="38"/>
        <v>3.0769230769230771</v>
      </c>
      <c r="U111" s="167">
        <f t="shared" si="42"/>
        <v>3.0769230769230771</v>
      </c>
      <c r="V111" s="167">
        <f>+$T111</f>
        <v>3.0769230769230771</v>
      </c>
      <c r="W111" s="175">
        <f>+$U111</f>
        <v>3.0769230769230771</v>
      </c>
      <c r="X111" s="176" t="s">
        <v>333</v>
      </c>
      <c r="Y111" s="174">
        <v>26</v>
      </c>
    </row>
    <row r="112" spans="1:25" ht="20" customHeight="1">
      <c r="A112" s="161">
        <f t="shared" si="44"/>
        <v>91</v>
      </c>
      <c r="B112" s="88" t="s">
        <v>24</v>
      </c>
      <c r="C112" s="90"/>
      <c r="D112" s="167"/>
      <c r="E112" s="326"/>
      <c r="F112" s="80"/>
      <c r="G112" s="167">
        <f t="shared" si="46"/>
        <v>0</v>
      </c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>
        <f t="shared" si="38"/>
        <v>0</v>
      </c>
      <c r="U112" s="167">
        <f>IF(G112=0,0,G112+J112+M112+P112+S112)</f>
        <v>0</v>
      </c>
      <c r="V112" s="167">
        <f>+$T112/1000</f>
        <v>0</v>
      </c>
      <c r="W112" s="175">
        <f>+$U112/1000</f>
        <v>0</v>
      </c>
      <c r="X112" s="176" t="s">
        <v>334</v>
      </c>
      <c r="Y112" s="174">
        <v>150</v>
      </c>
    </row>
    <row r="113" spans="1:25" ht="20" customHeight="1">
      <c r="A113" s="161"/>
      <c r="B113" s="88"/>
      <c r="C113" s="90"/>
      <c r="D113" s="167"/>
      <c r="E113" s="326"/>
      <c r="F113" s="80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75"/>
      <c r="X113" s="189"/>
      <c r="Y113" s="190"/>
    </row>
    <row r="114" spans="1:25" ht="20" customHeight="1">
      <c r="A114" s="161"/>
      <c r="B114" s="195" t="s">
        <v>390</v>
      </c>
      <c r="C114" s="90"/>
      <c r="D114" s="167"/>
      <c r="E114" s="326"/>
      <c r="F114" s="80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75"/>
      <c r="X114" s="189"/>
      <c r="Y114" s="190"/>
    </row>
    <row r="115" spans="1:25" ht="20" customHeight="1" thickBot="1">
      <c r="A115" s="161">
        <f>+A112+1</f>
        <v>92</v>
      </c>
      <c r="B115" s="91" t="s">
        <v>260</v>
      </c>
      <c r="C115" s="91" t="s">
        <v>356</v>
      </c>
      <c r="D115" s="167">
        <v>3.16</v>
      </c>
      <c r="E115" s="167">
        <f>D115*0.18</f>
        <v>0.56879999999999997</v>
      </c>
      <c r="F115" s="80"/>
      <c r="G115" s="167">
        <f t="shared" si="46"/>
        <v>3.7288000000000001</v>
      </c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>
        <f t="shared" si="38"/>
        <v>3.16</v>
      </c>
      <c r="U115" s="167">
        <f t="shared" si="42"/>
        <v>3.7288000000000001</v>
      </c>
      <c r="V115" s="167">
        <f t="shared" ref="V115:V150" si="47">+$T115</f>
        <v>3.16</v>
      </c>
      <c r="W115" s="175">
        <f t="shared" ref="W115:W150" si="48">+$U115</f>
        <v>3.7288000000000001</v>
      </c>
      <c r="X115" s="177" t="s">
        <v>335</v>
      </c>
      <c r="Y115" s="178">
        <f>(Y110/Y111)/Y112</f>
        <v>3.0769230769230771</v>
      </c>
    </row>
    <row r="116" spans="1:25" ht="20" customHeight="1">
      <c r="A116" s="161">
        <f t="shared" si="44"/>
        <v>93</v>
      </c>
      <c r="B116" s="91" t="s">
        <v>235</v>
      </c>
      <c r="C116" s="91" t="s">
        <v>356</v>
      </c>
      <c r="D116" s="170">
        <v>2.23</v>
      </c>
      <c r="E116" s="167">
        <f t="shared" ref="E116:E126" si="49">D116*0.18</f>
        <v>0.40139999999999998</v>
      </c>
      <c r="F116" s="80"/>
      <c r="G116" s="167">
        <f t="shared" si="46"/>
        <v>2.6314000000000002</v>
      </c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>
        <f t="shared" si="38"/>
        <v>2.23</v>
      </c>
      <c r="U116" s="167">
        <f t="shared" si="42"/>
        <v>2.6314000000000002</v>
      </c>
      <c r="V116" s="167">
        <f t="shared" si="47"/>
        <v>2.23</v>
      </c>
      <c r="W116" s="169">
        <f t="shared" si="48"/>
        <v>2.6314000000000002</v>
      </c>
    </row>
    <row r="117" spans="1:25" ht="20" customHeight="1">
      <c r="A117" s="161">
        <f t="shared" si="44"/>
        <v>94</v>
      </c>
      <c r="B117" s="91" t="s">
        <v>440</v>
      </c>
      <c r="C117" s="91" t="s">
        <v>356</v>
      </c>
      <c r="D117" s="170">
        <v>8.4499999999999993</v>
      </c>
      <c r="E117" s="167">
        <f t="shared" si="49"/>
        <v>1.5209999999999999</v>
      </c>
      <c r="F117" s="80"/>
      <c r="G117" s="167">
        <f t="shared" si="46"/>
        <v>9.9710000000000001</v>
      </c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>
        <f t="shared" si="38"/>
        <v>8.4499999999999993</v>
      </c>
      <c r="U117" s="167">
        <f t="shared" si="42"/>
        <v>9.9710000000000001</v>
      </c>
      <c r="V117" s="167">
        <f t="shared" si="47"/>
        <v>8.4499999999999993</v>
      </c>
      <c r="W117" s="169">
        <f t="shared" si="48"/>
        <v>9.9710000000000001</v>
      </c>
    </row>
    <row r="118" spans="1:25" ht="20" customHeight="1">
      <c r="A118" s="161">
        <f t="shared" si="44"/>
        <v>95</v>
      </c>
      <c r="B118" s="91" t="s">
        <v>441</v>
      </c>
      <c r="C118" s="91" t="s">
        <v>356</v>
      </c>
      <c r="D118" s="170">
        <v>11.94</v>
      </c>
      <c r="E118" s="167">
        <f t="shared" si="49"/>
        <v>2.1492</v>
      </c>
      <c r="F118" s="80"/>
      <c r="G118" s="167">
        <f t="shared" si="46"/>
        <v>14.0892</v>
      </c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>
        <f t="shared" si="38"/>
        <v>11.94</v>
      </c>
      <c r="U118" s="167">
        <f t="shared" si="42"/>
        <v>14.0892</v>
      </c>
      <c r="V118" s="167">
        <f t="shared" si="47"/>
        <v>11.94</v>
      </c>
      <c r="W118" s="169">
        <f t="shared" si="48"/>
        <v>14.0892</v>
      </c>
    </row>
    <row r="119" spans="1:25" ht="20" customHeight="1">
      <c r="A119" s="161">
        <f t="shared" si="44"/>
        <v>96</v>
      </c>
      <c r="B119" s="91" t="s">
        <v>261</v>
      </c>
      <c r="C119" s="91" t="s">
        <v>356</v>
      </c>
      <c r="D119" s="170">
        <v>1.85</v>
      </c>
      <c r="E119" s="167">
        <f t="shared" si="49"/>
        <v>0.33300000000000002</v>
      </c>
      <c r="F119" s="80"/>
      <c r="G119" s="167">
        <f t="shared" si="46"/>
        <v>2.1830000000000003</v>
      </c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>
        <f t="shared" si="38"/>
        <v>1.85</v>
      </c>
      <c r="U119" s="167">
        <f t="shared" si="42"/>
        <v>2.1830000000000003</v>
      </c>
      <c r="V119" s="167">
        <f t="shared" si="47"/>
        <v>1.85</v>
      </c>
      <c r="W119" s="169">
        <f t="shared" si="48"/>
        <v>2.1830000000000003</v>
      </c>
    </row>
    <row r="120" spans="1:25" ht="20" customHeight="1">
      <c r="A120" s="161">
        <f t="shared" si="44"/>
        <v>97</v>
      </c>
      <c r="B120" s="215" t="s">
        <v>321</v>
      </c>
      <c r="C120" s="90" t="s">
        <v>357</v>
      </c>
      <c r="D120" s="170">
        <v>3.92</v>
      </c>
      <c r="E120" s="167">
        <f t="shared" si="49"/>
        <v>0.7056</v>
      </c>
      <c r="F120" s="80"/>
      <c r="G120" s="167">
        <f t="shared" si="46"/>
        <v>4.6256000000000004</v>
      </c>
      <c r="H120" s="167"/>
      <c r="I120" s="167"/>
      <c r="J120" s="167"/>
      <c r="K120" s="167"/>
      <c r="L120" s="167"/>
      <c r="M120" s="167"/>
      <c r="N120" s="167"/>
      <c r="O120" s="167"/>
      <c r="P120" s="167"/>
      <c r="Q120" s="167">
        <v>0.307</v>
      </c>
      <c r="R120" s="167">
        <f>Q120*0.18</f>
        <v>5.5259999999999997E-2</v>
      </c>
      <c r="S120" s="170">
        <f>Q120+R120</f>
        <v>0.36225999999999997</v>
      </c>
      <c r="T120" s="167">
        <f t="shared" si="38"/>
        <v>4.2270000000000003</v>
      </c>
      <c r="U120" s="167">
        <f t="shared" si="42"/>
        <v>4.9878600000000004</v>
      </c>
      <c r="V120" s="167">
        <f t="shared" si="47"/>
        <v>4.2270000000000003</v>
      </c>
      <c r="W120" s="169">
        <f t="shared" si="48"/>
        <v>4.9878600000000004</v>
      </c>
    </row>
    <row r="121" spans="1:25" ht="20" customHeight="1">
      <c r="A121" s="161">
        <f t="shared" si="44"/>
        <v>98</v>
      </c>
      <c r="B121" s="215" t="s">
        <v>322</v>
      </c>
      <c r="C121" s="90" t="s">
        <v>357</v>
      </c>
      <c r="D121" s="170">
        <v>2.7</v>
      </c>
      <c r="E121" s="167">
        <f t="shared" si="49"/>
        <v>0.48599999999999999</v>
      </c>
      <c r="F121" s="80"/>
      <c r="G121" s="167">
        <f t="shared" si="46"/>
        <v>3.1859999999999999</v>
      </c>
      <c r="H121" s="167"/>
      <c r="I121" s="167"/>
      <c r="J121" s="167"/>
      <c r="K121" s="167"/>
      <c r="L121" s="167"/>
      <c r="M121" s="167"/>
      <c r="N121" s="167"/>
      <c r="O121" s="167"/>
      <c r="P121" s="167"/>
      <c r="Q121" s="167">
        <v>0.307</v>
      </c>
      <c r="R121" s="167">
        <f t="shared" ref="R121:R126" si="50">Q121*0.18</f>
        <v>5.5259999999999997E-2</v>
      </c>
      <c r="S121" s="170">
        <f t="shared" ref="S121:S126" si="51">Q121+R121</f>
        <v>0.36225999999999997</v>
      </c>
      <c r="T121" s="167">
        <f t="shared" ref="T121:T156" si="52">IF(D121=0,0,$D121+$H121+$K121+$N121+$Q121)</f>
        <v>3.0070000000000001</v>
      </c>
      <c r="U121" s="167">
        <f t="shared" si="42"/>
        <v>3.54826</v>
      </c>
      <c r="V121" s="167">
        <f t="shared" si="47"/>
        <v>3.0070000000000001</v>
      </c>
      <c r="W121" s="169">
        <f t="shared" si="48"/>
        <v>3.54826</v>
      </c>
    </row>
    <row r="122" spans="1:25" ht="20" customHeight="1">
      <c r="A122" s="161">
        <f t="shared" si="44"/>
        <v>99</v>
      </c>
      <c r="B122" s="215" t="s">
        <v>323</v>
      </c>
      <c r="C122" s="90" t="s">
        <v>357</v>
      </c>
      <c r="D122" s="170">
        <v>3.92</v>
      </c>
      <c r="E122" s="167">
        <f t="shared" si="49"/>
        <v>0.7056</v>
      </c>
      <c r="F122" s="80"/>
      <c r="G122" s="167">
        <f t="shared" si="46"/>
        <v>4.6256000000000004</v>
      </c>
      <c r="H122" s="167"/>
      <c r="I122" s="167"/>
      <c r="J122" s="167"/>
      <c r="K122" s="167"/>
      <c r="L122" s="167"/>
      <c r="M122" s="167"/>
      <c r="N122" s="167"/>
      <c r="O122" s="167"/>
      <c r="P122" s="167"/>
      <c r="Q122" s="167">
        <v>0.307</v>
      </c>
      <c r="R122" s="167">
        <f t="shared" si="50"/>
        <v>5.5259999999999997E-2</v>
      </c>
      <c r="S122" s="170">
        <f t="shared" si="51"/>
        <v>0.36225999999999997</v>
      </c>
      <c r="T122" s="167">
        <f t="shared" si="52"/>
        <v>4.2270000000000003</v>
      </c>
      <c r="U122" s="167">
        <f t="shared" si="42"/>
        <v>4.9878600000000004</v>
      </c>
      <c r="V122" s="167">
        <f t="shared" si="47"/>
        <v>4.2270000000000003</v>
      </c>
      <c r="W122" s="169">
        <f t="shared" si="48"/>
        <v>4.9878600000000004</v>
      </c>
    </row>
    <row r="123" spans="1:25" ht="20" customHeight="1">
      <c r="A123" s="161">
        <f t="shared" si="44"/>
        <v>100</v>
      </c>
      <c r="B123" s="215" t="s">
        <v>324</v>
      </c>
      <c r="C123" s="90" t="s">
        <v>357</v>
      </c>
      <c r="D123" s="170">
        <v>10.1</v>
      </c>
      <c r="E123" s="167">
        <f t="shared" si="49"/>
        <v>1.8179999999999998</v>
      </c>
      <c r="F123" s="80"/>
      <c r="G123" s="167">
        <f t="shared" si="46"/>
        <v>11.917999999999999</v>
      </c>
      <c r="H123" s="167"/>
      <c r="I123" s="167"/>
      <c r="J123" s="167"/>
      <c r="K123" s="167"/>
      <c r="L123" s="167"/>
      <c r="M123" s="167"/>
      <c r="N123" s="167"/>
      <c r="O123" s="167"/>
      <c r="P123" s="167"/>
      <c r="Q123" s="167">
        <v>0.51300000000000001</v>
      </c>
      <c r="R123" s="167">
        <f t="shared" si="50"/>
        <v>9.2340000000000005E-2</v>
      </c>
      <c r="S123" s="170">
        <f t="shared" si="51"/>
        <v>0.60533999999999999</v>
      </c>
      <c r="T123" s="167">
        <f t="shared" si="52"/>
        <v>10.613</v>
      </c>
      <c r="U123" s="167">
        <f t="shared" si="42"/>
        <v>12.523339999999999</v>
      </c>
      <c r="V123" s="167">
        <f t="shared" si="47"/>
        <v>10.613</v>
      </c>
      <c r="W123" s="169">
        <f t="shared" si="48"/>
        <v>12.523339999999999</v>
      </c>
    </row>
    <row r="124" spans="1:25" ht="20" customHeight="1">
      <c r="A124" s="161">
        <f t="shared" si="44"/>
        <v>101</v>
      </c>
      <c r="B124" s="216" t="s">
        <v>325</v>
      </c>
      <c r="C124" s="90" t="s">
        <v>357</v>
      </c>
      <c r="D124" s="170">
        <v>10.84</v>
      </c>
      <c r="E124" s="167">
        <f t="shared" si="49"/>
        <v>1.9511999999999998</v>
      </c>
      <c r="F124" s="80"/>
      <c r="G124" s="167">
        <f t="shared" si="46"/>
        <v>12.7912</v>
      </c>
      <c r="H124" s="167"/>
      <c r="I124" s="167"/>
      <c r="J124" s="167"/>
      <c r="K124" s="167"/>
      <c r="L124" s="167"/>
      <c r="M124" s="167"/>
      <c r="N124" s="167"/>
      <c r="O124" s="167"/>
      <c r="P124" s="167"/>
      <c r="Q124" s="167">
        <v>0.51300000000000001</v>
      </c>
      <c r="R124" s="167">
        <f t="shared" si="50"/>
        <v>9.2340000000000005E-2</v>
      </c>
      <c r="S124" s="170">
        <f t="shared" si="51"/>
        <v>0.60533999999999999</v>
      </c>
      <c r="T124" s="167">
        <f t="shared" si="52"/>
        <v>11.353</v>
      </c>
      <c r="U124" s="167">
        <f t="shared" si="42"/>
        <v>13.39654</v>
      </c>
      <c r="V124" s="167">
        <f t="shared" si="47"/>
        <v>11.353</v>
      </c>
      <c r="W124" s="169">
        <f t="shared" si="48"/>
        <v>13.39654</v>
      </c>
    </row>
    <row r="125" spans="1:25" ht="20" customHeight="1">
      <c r="A125" s="161">
        <f t="shared" si="44"/>
        <v>102</v>
      </c>
      <c r="B125" s="215" t="s">
        <v>326</v>
      </c>
      <c r="C125" s="90" t="s">
        <v>357</v>
      </c>
      <c r="D125" s="170">
        <v>12.39</v>
      </c>
      <c r="E125" s="167">
        <f t="shared" si="49"/>
        <v>2.2302</v>
      </c>
      <c r="F125" s="80"/>
      <c r="G125" s="167">
        <f t="shared" si="46"/>
        <v>14.620200000000001</v>
      </c>
      <c r="H125" s="167"/>
      <c r="I125" s="167"/>
      <c r="J125" s="167"/>
      <c r="K125" s="167"/>
      <c r="L125" s="167"/>
      <c r="M125" s="167"/>
      <c r="N125" s="167"/>
      <c r="O125" s="167"/>
      <c r="P125" s="167"/>
      <c r="Q125" s="167">
        <v>0.51300000000000001</v>
      </c>
      <c r="R125" s="167">
        <f t="shared" si="50"/>
        <v>9.2340000000000005E-2</v>
      </c>
      <c r="S125" s="170">
        <f t="shared" si="51"/>
        <v>0.60533999999999999</v>
      </c>
      <c r="T125" s="167">
        <f t="shared" si="52"/>
        <v>12.903</v>
      </c>
      <c r="U125" s="167">
        <f t="shared" si="42"/>
        <v>15.225540000000001</v>
      </c>
      <c r="V125" s="167">
        <f t="shared" si="47"/>
        <v>12.903</v>
      </c>
      <c r="W125" s="169">
        <f t="shared" si="48"/>
        <v>15.225540000000001</v>
      </c>
    </row>
    <row r="126" spans="1:25" ht="20" customHeight="1">
      <c r="A126" s="161">
        <f t="shared" si="44"/>
        <v>103</v>
      </c>
      <c r="B126" s="215" t="s">
        <v>327</v>
      </c>
      <c r="C126" s="90" t="s">
        <v>357</v>
      </c>
      <c r="D126" s="170">
        <v>15.41</v>
      </c>
      <c r="E126" s="167">
        <f t="shared" si="49"/>
        <v>2.7738</v>
      </c>
      <c r="F126" s="80"/>
      <c r="G126" s="167">
        <f t="shared" si="46"/>
        <v>18.183800000000002</v>
      </c>
      <c r="H126" s="167"/>
      <c r="I126" s="167"/>
      <c r="J126" s="167"/>
      <c r="K126" s="167"/>
      <c r="L126" s="167"/>
      <c r="M126" s="167"/>
      <c r="N126" s="167"/>
      <c r="O126" s="167"/>
      <c r="P126" s="167"/>
      <c r="Q126" s="167">
        <v>0.72</v>
      </c>
      <c r="R126" s="167">
        <f t="shared" si="50"/>
        <v>0.12959999999999999</v>
      </c>
      <c r="S126" s="170">
        <f t="shared" si="51"/>
        <v>0.84959999999999991</v>
      </c>
      <c r="T126" s="167">
        <f t="shared" si="52"/>
        <v>16.13</v>
      </c>
      <c r="U126" s="167">
        <f t="shared" si="42"/>
        <v>19.0334</v>
      </c>
      <c r="V126" s="167">
        <f t="shared" si="47"/>
        <v>16.13</v>
      </c>
      <c r="W126" s="169">
        <f t="shared" si="48"/>
        <v>19.0334</v>
      </c>
    </row>
    <row r="127" spans="1:25" ht="20" customHeight="1">
      <c r="A127" s="161">
        <f t="shared" si="44"/>
        <v>104</v>
      </c>
      <c r="B127" s="88" t="s">
        <v>126</v>
      </c>
      <c r="C127" s="90" t="s">
        <v>383</v>
      </c>
      <c r="D127" s="171">
        <v>2.2000000000000002</v>
      </c>
      <c r="E127" s="171"/>
      <c r="F127" s="80"/>
      <c r="G127" s="167">
        <f t="shared" si="46"/>
        <v>2.2000000000000002</v>
      </c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>
        <f t="shared" si="52"/>
        <v>2.2000000000000002</v>
      </c>
      <c r="U127" s="167">
        <f t="shared" si="42"/>
        <v>2.2000000000000002</v>
      </c>
      <c r="V127" s="167">
        <f t="shared" si="47"/>
        <v>2.2000000000000002</v>
      </c>
      <c r="W127" s="169">
        <f t="shared" si="48"/>
        <v>2.2000000000000002</v>
      </c>
    </row>
    <row r="128" spans="1:25" ht="20" customHeight="1">
      <c r="A128" s="161"/>
      <c r="B128" s="88"/>
      <c r="C128" s="90"/>
      <c r="D128" s="171"/>
      <c r="E128" s="171"/>
      <c r="F128" s="80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9"/>
    </row>
    <row r="129" spans="1:23" ht="20" customHeight="1">
      <c r="A129" s="161"/>
      <c r="B129" s="195" t="s">
        <v>391</v>
      </c>
      <c r="C129" s="90"/>
      <c r="D129" s="171"/>
      <c r="E129" s="171"/>
      <c r="F129" s="80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9"/>
    </row>
    <row r="130" spans="1:23" ht="20" customHeight="1">
      <c r="A130" s="161">
        <v>104</v>
      </c>
      <c r="B130" s="88" t="s">
        <v>295</v>
      </c>
      <c r="C130" s="90"/>
      <c r="D130" s="167">
        <v>0</v>
      </c>
      <c r="E130" s="167"/>
      <c r="F130" s="80"/>
      <c r="G130" s="167">
        <f t="shared" si="46"/>
        <v>0</v>
      </c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>
        <f t="shared" si="52"/>
        <v>0</v>
      </c>
      <c r="U130" s="167">
        <f t="shared" si="42"/>
        <v>0</v>
      </c>
      <c r="V130" s="167">
        <f t="shared" si="47"/>
        <v>0</v>
      </c>
      <c r="W130" s="169">
        <f t="shared" si="48"/>
        <v>0</v>
      </c>
    </row>
    <row r="131" spans="1:23" ht="20" customHeight="1">
      <c r="A131" s="161">
        <v>105</v>
      </c>
      <c r="B131" s="88" t="s">
        <v>263</v>
      </c>
      <c r="C131" s="90" t="s">
        <v>445</v>
      </c>
      <c r="D131" s="167">
        <v>8.77</v>
      </c>
      <c r="E131" s="167">
        <f t="shared" ref="E131:E135" si="53">D131*0.18</f>
        <v>1.5785999999999998</v>
      </c>
      <c r="F131" s="80"/>
      <c r="G131" s="167">
        <f t="shared" si="46"/>
        <v>10.348599999999999</v>
      </c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>
        <f t="shared" si="52"/>
        <v>8.77</v>
      </c>
      <c r="U131" s="167">
        <f t="shared" si="42"/>
        <v>10.348599999999999</v>
      </c>
      <c r="V131" s="167">
        <f t="shared" si="47"/>
        <v>8.77</v>
      </c>
      <c r="W131" s="169">
        <f t="shared" si="48"/>
        <v>10.348599999999999</v>
      </c>
    </row>
    <row r="132" spans="1:23" ht="20" customHeight="1">
      <c r="A132" s="161">
        <v>106</v>
      </c>
      <c r="B132" s="88" t="s">
        <v>264</v>
      </c>
      <c r="C132" s="90" t="s">
        <v>446</v>
      </c>
      <c r="D132" s="167">
        <v>11.8</v>
      </c>
      <c r="E132" s="167">
        <f t="shared" si="53"/>
        <v>2.1240000000000001</v>
      </c>
      <c r="F132" s="80"/>
      <c r="G132" s="167">
        <f t="shared" si="46"/>
        <v>13.924000000000001</v>
      </c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>
        <f t="shared" si="52"/>
        <v>11.8</v>
      </c>
      <c r="U132" s="167">
        <f t="shared" si="42"/>
        <v>13.924000000000001</v>
      </c>
      <c r="V132" s="167">
        <f t="shared" si="47"/>
        <v>11.8</v>
      </c>
      <c r="W132" s="169">
        <f t="shared" si="48"/>
        <v>13.924000000000001</v>
      </c>
    </row>
    <row r="133" spans="1:23" ht="20" customHeight="1">
      <c r="A133" s="161">
        <v>107</v>
      </c>
      <c r="B133" s="88" t="s">
        <v>265</v>
      </c>
      <c r="C133" s="90" t="s">
        <v>447</v>
      </c>
      <c r="D133" s="167">
        <v>19.87</v>
      </c>
      <c r="E133" s="167">
        <f t="shared" si="53"/>
        <v>3.5766</v>
      </c>
      <c r="F133" s="80"/>
      <c r="G133" s="167">
        <f t="shared" si="46"/>
        <v>23.4466</v>
      </c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>
        <f t="shared" si="52"/>
        <v>19.87</v>
      </c>
      <c r="U133" s="167">
        <f t="shared" si="42"/>
        <v>23.4466</v>
      </c>
      <c r="V133" s="167">
        <f t="shared" si="47"/>
        <v>19.87</v>
      </c>
      <c r="W133" s="169">
        <f t="shared" si="48"/>
        <v>23.4466</v>
      </c>
    </row>
    <row r="134" spans="1:23" ht="20" customHeight="1">
      <c r="A134" s="161">
        <v>108</v>
      </c>
      <c r="B134" s="88" t="s">
        <v>444</v>
      </c>
      <c r="C134" s="90" t="s">
        <v>448</v>
      </c>
      <c r="D134" s="167">
        <v>27.33</v>
      </c>
      <c r="E134" s="167">
        <f t="shared" si="53"/>
        <v>4.9193999999999996</v>
      </c>
      <c r="F134" s="80"/>
      <c r="G134" s="167">
        <f t="shared" si="46"/>
        <v>32.249399999999994</v>
      </c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>
        <f t="shared" si="52"/>
        <v>27.33</v>
      </c>
      <c r="U134" s="167">
        <f t="shared" si="42"/>
        <v>32.249399999999994</v>
      </c>
      <c r="V134" s="167">
        <f t="shared" si="47"/>
        <v>27.33</v>
      </c>
      <c r="W134" s="169">
        <f t="shared" si="48"/>
        <v>32.249399999999994</v>
      </c>
    </row>
    <row r="135" spans="1:23" ht="20" customHeight="1">
      <c r="A135" s="161">
        <v>109</v>
      </c>
      <c r="B135" s="88" t="s">
        <v>266</v>
      </c>
      <c r="C135" s="90"/>
      <c r="D135" s="167">
        <v>18.46</v>
      </c>
      <c r="E135" s="167">
        <f t="shared" si="53"/>
        <v>3.3228</v>
      </c>
      <c r="F135" s="80"/>
      <c r="G135" s="167">
        <f t="shared" si="46"/>
        <v>21.782800000000002</v>
      </c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>
        <f t="shared" si="52"/>
        <v>18.46</v>
      </c>
      <c r="U135" s="167">
        <f t="shared" si="42"/>
        <v>21.782800000000002</v>
      </c>
      <c r="V135" s="167">
        <f t="shared" si="47"/>
        <v>18.46</v>
      </c>
      <c r="W135" s="169">
        <f t="shared" si="48"/>
        <v>21.782800000000002</v>
      </c>
    </row>
    <row r="136" spans="1:23" ht="20" customHeight="1">
      <c r="A136" s="161">
        <v>110</v>
      </c>
      <c r="B136" s="88" t="s">
        <v>267</v>
      </c>
      <c r="C136" s="90"/>
      <c r="D136" s="167">
        <v>55.02</v>
      </c>
      <c r="E136" s="167">
        <f>D136*0.05</f>
        <v>2.7510000000000003</v>
      </c>
      <c r="F136" s="80"/>
      <c r="G136" s="167">
        <f t="shared" si="46"/>
        <v>57.771000000000001</v>
      </c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>
        <f t="shared" si="52"/>
        <v>55.02</v>
      </c>
      <c r="U136" s="167">
        <f t="shared" si="42"/>
        <v>57.771000000000001</v>
      </c>
      <c r="V136" s="167">
        <f t="shared" si="47"/>
        <v>55.02</v>
      </c>
      <c r="W136" s="169">
        <f t="shared" si="48"/>
        <v>57.771000000000001</v>
      </c>
    </row>
    <row r="137" spans="1:23" ht="20" customHeight="1">
      <c r="A137" s="161">
        <v>111</v>
      </c>
      <c r="B137" s="88" t="s">
        <v>268</v>
      </c>
      <c r="C137" s="90"/>
      <c r="D137" s="167">
        <v>18.47</v>
      </c>
      <c r="E137" s="167">
        <f>D137*0.05</f>
        <v>0.92349999999999999</v>
      </c>
      <c r="F137" s="80"/>
      <c r="G137" s="167">
        <f t="shared" si="46"/>
        <v>19.3935</v>
      </c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>
        <f t="shared" si="52"/>
        <v>18.47</v>
      </c>
      <c r="U137" s="167">
        <f t="shared" si="42"/>
        <v>19.3935</v>
      </c>
      <c r="V137" s="167">
        <f t="shared" si="47"/>
        <v>18.47</v>
      </c>
      <c r="W137" s="169">
        <f t="shared" si="48"/>
        <v>19.3935</v>
      </c>
    </row>
    <row r="138" spans="1:23" ht="20" customHeight="1">
      <c r="A138" s="161">
        <v>112</v>
      </c>
      <c r="B138" s="88" t="s">
        <v>443</v>
      </c>
      <c r="C138" s="90"/>
      <c r="D138" s="167">
        <v>29.2</v>
      </c>
      <c r="E138" s="167">
        <f>D138*0.05</f>
        <v>1.46</v>
      </c>
      <c r="F138" s="80"/>
      <c r="G138" s="167">
        <f t="shared" si="46"/>
        <v>30.66</v>
      </c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>
        <f t="shared" si="52"/>
        <v>29.2</v>
      </c>
      <c r="U138" s="167">
        <f t="shared" si="42"/>
        <v>30.66</v>
      </c>
      <c r="V138" s="167">
        <f t="shared" si="47"/>
        <v>29.2</v>
      </c>
      <c r="W138" s="169">
        <f t="shared" si="48"/>
        <v>30.66</v>
      </c>
    </row>
    <row r="139" spans="1:23" ht="20" customHeight="1">
      <c r="A139" s="161">
        <v>113</v>
      </c>
      <c r="B139" s="88" t="s">
        <v>269</v>
      </c>
      <c r="C139" s="90"/>
      <c r="D139" s="167">
        <v>33.33</v>
      </c>
      <c r="E139" s="167">
        <f>D139*0.05</f>
        <v>1.6665000000000001</v>
      </c>
      <c r="F139" s="80"/>
      <c r="G139" s="167">
        <f t="shared" si="46"/>
        <v>34.996499999999997</v>
      </c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>
        <f t="shared" si="52"/>
        <v>33.33</v>
      </c>
      <c r="U139" s="167">
        <f t="shared" si="42"/>
        <v>34.996499999999997</v>
      </c>
      <c r="V139" s="167">
        <f t="shared" si="47"/>
        <v>33.33</v>
      </c>
      <c r="W139" s="169">
        <f t="shared" si="48"/>
        <v>34.996499999999997</v>
      </c>
    </row>
    <row r="140" spans="1:23" ht="20" customHeight="1">
      <c r="A140" s="161"/>
      <c r="B140" s="88"/>
      <c r="C140" s="90"/>
      <c r="D140" s="167"/>
      <c r="E140" s="167"/>
      <c r="F140" s="80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9"/>
    </row>
    <row r="141" spans="1:23" ht="20" customHeight="1">
      <c r="A141" s="161"/>
      <c r="B141" s="195" t="s">
        <v>392</v>
      </c>
      <c r="C141" s="90"/>
      <c r="D141" s="167"/>
      <c r="E141" s="167"/>
      <c r="F141" s="80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9"/>
    </row>
    <row r="142" spans="1:23" ht="20" customHeight="1">
      <c r="A142" s="161">
        <f>+A139+1</f>
        <v>114</v>
      </c>
      <c r="B142" s="91" t="s">
        <v>371</v>
      </c>
      <c r="C142" s="91" t="s">
        <v>377</v>
      </c>
      <c r="D142" s="167">
        <v>40</v>
      </c>
      <c r="E142" s="167"/>
      <c r="F142" s="80"/>
      <c r="G142" s="167">
        <f t="shared" si="46"/>
        <v>40</v>
      </c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67">
        <f t="shared" si="52"/>
        <v>40</v>
      </c>
      <c r="U142" s="167">
        <f t="shared" si="42"/>
        <v>40</v>
      </c>
      <c r="V142" s="167">
        <f t="shared" si="47"/>
        <v>40</v>
      </c>
      <c r="W142" s="169">
        <f t="shared" si="48"/>
        <v>40</v>
      </c>
    </row>
    <row r="143" spans="1:23" ht="20" customHeight="1">
      <c r="A143" s="161">
        <f t="shared" si="44"/>
        <v>115</v>
      </c>
      <c r="B143" s="91" t="s">
        <v>372</v>
      </c>
      <c r="C143" s="91" t="s">
        <v>377</v>
      </c>
      <c r="D143" s="167">
        <v>58</v>
      </c>
      <c r="E143" s="167"/>
      <c r="F143" s="80"/>
      <c r="G143" s="167">
        <f t="shared" si="46"/>
        <v>58</v>
      </c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67">
        <f t="shared" si="52"/>
        <v>58</v>
      </c>
      <c r="U143" s="167">
        <f t="shared" si="42"/>
        <v>58</v>
      </c>
      <c r="V143" s="167">
        <f t="shared" si="47"/>
        <v>58</v>
      </c>
      <c r="W143" s="169">
        <f t="shared" si="48"/>
        <v>58</v>
      </c>
    </row>
    <row r="144" spans="1:23" ht="20" customHeight="1">
      <c r="A144" s="161">
        <f t="shared" si="44"/>
        <v>116</v>
      </c>
      <c r="B144" s="91" t="s">
        <v>373</v>
      </c>
      <c r="C144" s="91" t="s">
        <v>377</v>
      </c>
      <c r="D144" s="167">
        <v>65</v>
      </c>
      <c r="E144" s="167"/>
      <c r="F144" s="80"/>
      <c r="G144" s="167">
        <f t="shared" si="46"/>
        <v>65</v>
      </c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67">
        <f t="shared" si="52"/>
        <v>65</v>
      </c>
      <c r="U144" s="167">
        <f t="shared" si="42"/>
        <v>65</v>
      </c>
      <c r="V144" s="167">
        <f t="shared" si="47"/>
        <v>65</v>
      </c>
      <c r="W144" s="169">
        <f t="shared" si="48"/>
        <v>65</v>
      </c>
    </row>
    <row r="145" spans="1:23" ht="20" customHeight="1">
      <c r="A145" s="161">
        <f t="shared" si="44"/>
        <v>117</v>
      </c>
      <c r="B145" s="91" t="s">
        <v>374</v>
      </c>
      <c r="C145" s="91" t="s">
        <v>377</v>
      </c>
      <c r="D145" s="167">
        <v>75</v>
      </c>
      <c r="E145" s="167"/>
      <c r="F145" s="80"/>
      <c r="G145" s="167">
        <f t="shared" si="46"/>
        <v>75</v>
      </c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67">
        <f t="shared" si="52"/>
        <v>75</v>
      </c>
      <c r="U145" s="167">
        <f t="shared" si="42"/>
        <v>75</v>
      </c>
      <c r="V145" s="167">
        <f t="shared" si="47"/>
        <v>75</v>
      </c>
      <c r="W145" s="169">
        <f t="shared" si="48"/>
        <v>75</v>
      </c>
    </row>
    <row r="146" spans="1:23" ht="20" customHeight="1">
      <c r="A146" s="161">
        <f t="shared" si="44"/>
        <v>118</v>
      </c>
      <c r="B146" s="91" t="s">
        <v>375</v>
      </c>
      <c r="C146" s="91" t="s">
        <v>377</v>
      </c>
      <c r="D146" s="167">
        <v>78</v>
      </c>
      <c r="E146" s="167"/>
      <c r="F146" s="80"/>
      <c r="G146" s="167">
        <f t="shared" si="46"/>
        <v>78</v>
      </c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67">
        <f t="shared" si="52"/>
        <v>78</v>
      </c>
      <c r="U146" s="167">
        <f t="shared" si="42"/>
        <v>78</v>
      </c>
      <c r="V146" s="167">
        <f t="shared" si="47"/>
        <v>78</v>
      </c>
      <c r="W146" s="169">
        <f t="shared" si="48"/>
        <v>78</v>
      </c>
    </row>
    <row r="147" spans="1:23" ht="20" customHeight="1">
      <c r="A147" s="161">
        <f t="shared" si="44"/>
        <v>119</v>
      </c>
      <c r="B147" s="91" t="s">
        <v>376</v>
      </c>
      <c r="C147" s="91" t="s">
        <v>377</v>
      </c>
      <c r="D147" s="167">
        <v>84</v>
      </c>
      <c r="E147" s="167"/>
      <c r="F147" s="80"/>
      <c r="G147" s="167">
        <f t="shared" si="46"/>
        <v>84</v>
      </c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67">
        <f t="shared" si="52"/>
        <v>84</v>
      </c>
      <c r="U147" s="167">
        <f t="shared" si="42"/>
        <v>84</v>
      </c>
      <c r="V147" s="167">
        <f t="shared" si="47"/>
        <v>84</v>
      </c>
      <c r="W147" s="169">
        <f t="shared" si="48"/>
        <v>84</v>
      </c>
    </row>
    <row r="148" spans="1:23" ht="20" customHeight="1">
      <c r="A148" s="161">
        <f t="shared" si="44"/>
        <v>120</v>
      </c>
      <c r="B148" s="91" t="s">
        <v>371</v>
      </c>
      <c r="C148" s="91" t="s">
        <v>378</v>
      </c>
      <c r="D148" s="167"/>
      <c r="E148" s="167"/>
      <c r="F148" s="80"/>
      <c r="G148" s="167">
        <f t="shared" si="46"/>
        <v>0</v>
      </c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67">
        <f t="shared" si="52"/>
        <v>0</v>
      </c>
      <c r="U148" s="167">
        <f t="shared" si="42"/>
        <v>0</v>
      </c>
      <c r="V148" s="167">
        <f t="shared" si="47"/>
        <v>0</v>
      </c>
      <c r="W148" s="169">
        <f t="shared" si="48"/>
        <v>0</v>
      </c>
    </row>
    <row r="149" spans="1:23" ht="20" customHeight="1">
      <c r="A149" s="161">
        <f t="shared" si="44"/>
        <v>121</v>
      </c>
      <c r="B149" s="91" t="s">
        <v>372</v>
      </c>
      <c r="C149" s="91" t="s">
        <v>378</v>
      </c>
      <c r="D149" s="167">
        <v>90</v>
      </c>
      <c r="E149" s="167"/>
      <c r="F149" s="80"/>
      <c r="G149" s="167">
        <f t="shared" ref="G149:G197" si="54">+D149+E149</f>
        <v>90</v>
      </c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67">
        <f t="shared" si="52"/>
        <v>90</v>
      </c>
      <c r="U149" s="167">
        <f t="shared" si="42"/>
        <v>90</v>
      </c>
      <c r="V149" s="167">
        <f t="shared" si="47"/>
        <v>90</v>
      </c>
      <c r="W149" s="169">
        <f t="shared" si="48"/>
        <v>90</v>
      </c>
    </row>
    <row r="150" spans="1:23" ht="20" customHeight="1">
      <c r="A150" s="161">
        <f t="shared" si="44"/>
        <v>122</v>
      </c>
      <c r="B150" s="91" t="s">
        <v>373</v>
      </c>
      <c r="C150" s="91" t="s">
        <v>378</v>
      </c>
      <c r="D150" s="167">
        <v>90</v>
      </c>
      <c r="E150" s="167"/>
      <c r="F150" s="80"/>
      <c r="G150" s="167">
        <f t="shared" si="54"/>
        <v>90</v>
      </c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67">
        <f t="shared" si="52"/>
        <v>90</v>
      </c>
      <c r="U150" s="167">
        <f t="shared" si="42"/>
        <v>90</v>
      </c>
      <c r="V150" s="167">
        <f t="shared" si="47"/>
        <v>90</v>
      </c>
      <c r="W150" s="169">
        <f t="shared" si="48"/>
        <v>90</v>
      </c>
    </row>
    <row r="151" spans="1:23" ht="20" customHeight="1">
      <c r="A151" s="161">
        <f t="shared" si="44"/>
        <v>123</v>
      </c>
      <c r="B151" s="91" t="s">
        <v>374</v>
      </c>
      <c r="C151" s="91" t="s">
        <v>378</v>
      </c>
      <c r="D151" s="167">
        <v>106</v>
      </c>
      <c r="E151" s="167"/>
      <c r="F151" s="80"/>
      <c r="G151" s="167">
        <f t="shared" si="54"/>
        <v>106</v>
      </c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67">
        <f t="shared" si="52"/>
        <v>106</v>
      </c>
      <c r="U151" s="167">
        <f t="shared" si="42"/>
        <v>106</v>
      </c>
      <c r="V151" s="167">
        <f t="shared" ref="V151:V197" si="55">+$T151</f>
        <v>106</v>
      </c>
      <c r="W151" s="169">
        <f t="shared" ref="W151:W197" si="56">+$U151</f>
        <v>106</v>
      </c>
    </row>
    <row r="152" spans="1:23" ht="20" customHeight="1">
      <c r="A152" s="161">
        <f t="shared" si="44"/>
        <v>124</v>
      </c>
      <c r="B152" s="91" t="s">
        <v>375</v>
      </c>
      <c r="C152" s="91" t="s">
        <v>378</v>
      </c>
      <c r="D152" s="167">
        <v>115</v>
      </c>
      <c r="E152" s="167"/>
      <c r="F152" s="80"/>
      <c r="G152" s="167">
        <f t="shared" si="54"/>
        <v>115</v>
      </c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67">
        <f t="shared" si="52"/>
        <v>115</v>
      </c>
      <c r="U152" s="167">
        <f t="shared" si="42"/>
        <v>115</v>
      </c>
      <c r="V152" s="167">
        <f t="shared" si="55"/>
        <v>115</v>
      </c>
      <c r="W152" s="169">
        <f t="shared" si="56"/>
        <v>115</v>
      </c>
    </row>
    <row r="153" spans="1:23" ht="20" customHeight="1">
      <c r="A153" s="161">
        <f t="shared" si="44"/>
        <v>125</v>
      </c>
      <c r="B153" s="91" t="s">
        <v>376</v>
      </c>
      <c r="C153" s="91" t="s">
        <v>378</v>
      </c>
      <c r="D153" s="167">
        <v>130</v>
      </c>
      <c r="E153" s="167"/>
      <c r="F153" s="80"/>
      <c r="G153" s="167">
        <f t="shared" si="54"/>
        <v>130</v>
      </c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67">
        <f t="shared" si="52"/>
        <v>130</v>
      </c>
      <c r="U153" s="167">
        <f t="shared" si="42"/>
        <v>130</v>
      </c>
      <c r="V153" s="167">
        <f t="shared" si="55"/>
        <v>130</v>
      </c>
      <c r="W153" s="169">
        <f t="shared" si="56"/>
        <v>130</v>
      </c>
    </row>
    <row r="154" spans="1:23" ht="20" customHeight="1">
      <c r="A154" s="161">
        <f t="shared" si="44"/>
        <v>126</v>
      </c>
      <c r="B154" s="91" t="s">
        <v>371</v>
      </c>
      <c r="C154" s="91" t="s">
        <v>379</v>
      </c>
      <c r="D154" s="167">
        <v>150</v>
      </c>
      <c r="E154" s="167"/>
      <c r="F154" s="80"/>
      <c r="G154" s="167">
        <f t="shared" si="54"/>
        <v>150</v>
      </c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67">
        <f t="shared" si="52"/>
        <v>150</v>
      </c>
      <c r="U154" s="167">
        <f t="shared" si="42"/>
        <v>150</v>
      </c>
      <c r="V154" s="167">
        <f t="shared" si="55"/>
        <v>150</v>
      </c>
      <c r="W154" s="169">
        <f t="shared" si="56"/>
        <v>150</v>
      </c>
    </row>
    <row r="155" spans="1:23" ht="20" customHeight="1">
      <c r="A155" s="161">
        <f t="shared" si="44"/>
        <v>127</v>
      </c>
      <c r="B155" s="91" t="s">
        <v>372</v>
      </c>
      <c r="C155" s="91" t="s">
        <v>379</v>
      </c>
      <c r="D155" s="167">
        <v>250</v>
      </c>
      <c r="E155" s="167"/>
      <c r="F155" s="80"/>
      <c r="G155" s="167">
        <f t="shared" si="54"/>
        <v>250</v>
      </c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67">
        <f t="shared" si="52"/>
        <v>250</v>
      </c>
      <c r="U155" s="167">
        <f t="shared" si="42"/>
        <v>250</v>
      </c>
      <c r="V155" s="167">
        <f t="shared" si="55"/>
        <v>250</v>
      </c>
      <c r="W155" s="169">
        <f t="shared" si="56"/>
        <v>250</v>
      </c>
    </row>
    <row r="156" spans="1:23" ht="20" customHeight="1">
      <c r="A156" s="161">
        <f t="shared" si="44"/>
        <v>128</v>
      </c>
      <c r="B156" s="91" t="s">
        <v>373</v>
      </c>
      <c r="C156" s="91" t="s">
        <v>379</v>
      </c>
      <c r="D156" s="167">
        <v>300</v>
      </c>
      <c r="E156" s="167"/>
      <c r="F156" s="80"/>
      <c r="G156" s="167">
        <f t="shared" si="54"/>
        <v>300</v>
      </c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67">
        <f t="shared" si="52"/>
        <v>300</v>
      </c>
      <c r="U156" s="167">
        <f t="shared" si="42"/>
        <v>300</v>
      </c>
      <c r="V156" s="167">
        <f t="shared" si="55"/>
        <v>300</v>
      </c>
      <c r="W156" s="169">
        <f t="shared" si="56"/>
        <v>300</v>
      </c>
    </row>
    <row r="157" spans="1:23" ht="20" customHeight="1">
      <c r="A157" s="161">
        <f t="shared" si="44"/>
        <v>129</v>
      </c>
      <c r="B157" s="91" t="s">
        <v>374</v>
      </c>
      <c r="C157" s="91" t="s">
        <v>379</v>
      </c>
      <c r="D157" s="167">
        <v>320</v>
      </c>
      <c r="E157" s="167"/>
      <c r="F157" s="80"/>
      <c r="G157" s="167">
        <f t="shared" si="54"/>
        <v>320</v>
      </c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67">
        <f t="shared" ref="T157:T197" si="57">IF(D157=0,0,$D157+$H157+$K157+$N157+$Q157)</f>
        <v>320</v>
      </c>
      <c r="U157" s="167">
        <f t="shared" si="42"/>
        <v>320</v>
      </c>
      <c r="V157" s="167">
        <f t="shared" si="55"/>
        <v>320</v>
      </c>
      <c r="W157" s="169">
        <f t="shared" si="56"/>
        <v>320</v>
      </c>
    </row>
    <row r="158" spans="1:23" ht="20" customHeight="1">
      <c r="A158" s="161">
        <f t="shared" si="44"/>
        <v>130</v>
      </c>
      <c r="B158" s="91" t="s">
        <v>375</v>
      </c>
      <c r="C158" s="91" t="s">
        <v>379</v>
      </c>
      <c r="D158" s="167">
        <v>350</v>
      </c>
      <c r="E158" s="167"/>
      <c r="F158" s="80"/>
      <c r="G158" s="167">
        <f t="shared" si="54"/>
        <v>350</v>
      </c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67">
        <f t="shared" si="57"/>
        <v>350</v>
      </c>
      <c r="U158" s="167">
        <f t="shared" ref="U158:U197" si="58">IF(G158=0,0,G158+J158+M158+P158+S158)</f>
        <v>350</v>
      </c>
      <c r="V158" s="167">
        <f t="shared" si="55"/>
        <v>350</v>
      </c>
      <c r="W158" s="169">
        <f t="shared" si="56"/>
        <v>350</v>
      </c>
    </row>
    <row r="159" spans="1:23" ht="20" customHeight="1">
      <c r="A159" s="161">
        <f t="shared" si="44"/>
        <v>131</v>
      </c>
      <c r="B159" s="91" t="s">
        <v>376</v>
      </c>
      <c r="C159" s="91" t="s">
        <v>379</v>
      </c>
      <c r="D159" s="167">
        <v>400</v>
      </c>
      <c r="E159" s="167"/>
      <c r="F159" s="80"/>
      <c r="G159" s="167">
        <f t="shared" si="54"/>
        <v>400</v>
      </c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67">
        <f t="shared" si="57"/>
        <v>400</v>
      </c>
      <c r="U159" s="167">
        <f t="shared" si="58"/>
        <v>400</v>
      </c>
      <c r="V159" s="167">
        <f t="shared" si="55"/>
        <v>400</v>
      </c>
      <c r="W159" s="169">
        <f t="shared" si="56"/>
        <v>400</v>
      </c>
    </row>
    <row r="160" spans="1:23" ht="20" customHeight="1">
      <c r="A160" s="161">
        <f t="shared" si="44"/>
        <v>132</v>
      </c>
      <c r="B160" s="91" t="s">
        <v>371</v>
      </c>
      <c r="C160" s="91" t="s">
        <v>380</v>
      </c>
      <c r="D160" s="167">
        <v>250</v>
      </c>
      <c r="E160" s="167"/>
      <c r="F160" s="80"/>
      <c r="G160" s="167">
        <f t="shared" si="54"/>
        <v>250</v>
      </c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67">
        <f t="shared" si="57"/>
        <v>250</v>
      </c>
      <c r="U160" s="167">
        <f t="shared" si="58"/>
        <v>250</v>
      </c>
      <c r="V160" s="167">
        <f t="shared" si="55"/>
        <v>250</v>
      </c>
      <c r="W160" s="169">
        <f t="shared" si="56"/>
        <v>250</v>
      </c>
    </row>
    <row r="161" spans="1:23" ht="20" customHeight="1">
      <c r="A161" s="161">
        <f t="shared" si="44"/>
        <v>133</v>
      </c>
      <c r="B161" s="91" t="s">
        <v>372</v>
      </c>
      <c r="C161" s="91" t="s">
        <v>380</v>
      </c>
      <c r="D161" s="167">
        <v>305</v>
      </c>
      <c r="E161" s="167"/>
      <c r="F161" s="80"/>
      <c r="G161" s="167">
        <f t="shared" si="54"/>
        <v>305</v>
      </c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67">
        <f t="shared" si="57"/>
        <v>305</v>
      </c>
      <c r="U161" s="167">
        <f t="shared" si="58"/>
        <v>305</v>
      </c>
      <c r="V161" s="167">
        <f t="shared" si="55"/>
        <v>305</v>
      </c>
      <c r="W161" s="169">
        <f t="shared" si="56"/>
        <v>305</v>
      </c>
    </row>
    <row r="162" spans="1:23" ht="20" customHeight="1">
      <c r="A162" s="161">
        <f t="shared" si="44"/>
        <v>134</v>
      </c>
      <c r="B162" s="91" t="s">
        <v>373</v>
      </c>
      <c r="C162" s="91" t="s">
        <v>380</v>
      </c>
      <c r="D162" s="167">
        <v>330</v>
      </c>
      <c r="E162" s="167"/>
      <c r="F162" s="80"/>
      <c r="G162" s="167">
        <f t="shared" si="54"/>
        <v>330</v>
      </c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67">
        <f t="shared" si="57"/>
        <v>330</v>
      </c>
      <c r="U162" s="167">
        <f t="shared" si="58"/>
        <v>330</v>
      </c>
      <c r="V162" s="167">
        <f t="shared" si="55"/>
        <v>330</v>
      </c>
      <c r="W162" s="169">
        <f t="shared" si="56"/>
        <v>330</v>
      </c>
    </row>
    <row r="163" spans="1:23" ht="20" customHeight="1">
      <c r="A163" s="161">
        <f t="shared" si="44"/>
        <v>135</v>
      </c>
      <c r="B163" s="91" t="s">
        <v>374</v>
      </c>
      <c r="C163" s="91" t="s">
        <v>380</v>
      </c>
      <c r="D163" s="167">
        <v>350</v>
      </c>
      <c r="E163" s="167"/>
      <c r="F163" s="80"/>
      <c r="G163" s="167">
        <f t="shared" si="54"/>
        <v>350</v>
      </c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67">
        <f t="shared" si="57"/>
        <v>350</v>
      </c>
      <c r="U163" s="167">
        <f t="shared" si="58"/>
        <v>350</v>
      </c>
      <c r="V163" s="167">
        <f t="shared" si="55"/>
        <v>350</v>
      </c>
      <c r="W163" s="169">
        <f t="shared" si="56"/>
        <v>350</v>
      </c>
    </row>
    <row r="164" spans="1:23" ht="20" customHeight="1">
      <c r="A164" s="161">
        <f t="shared" si="44"/>
        <v>136</v>
      </c>
      <c r="B164" s="91" t="s">
        <v>375</v>
      </c>
      <c r="C164" s="91" t="s">
        <v>380</v>
      </c>
      <c r="D164" s="167">
        <v>380</v>
      </c>
      <c r="E164" s="167"/>
      <c r="F164" s="80"/>
      <c r="G164" s="167">
        <f t="shared" si="54"/>
        <v>380</v>
      </c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67">
        <f t="shared" si="57"/>
        <v>380</v>
      </c>
      <c r="U164" s="167">
        <f t="shared" si="58"/>
        <v>380</v>
      </c>
      <c r="V164" s="167">
        <f t="shared" si="55"/>
        <v>380</v>
      </c>
      <c r="W164" s="169">
        <f t="shared" si="56"/>
        <v>380</v>
      </c>
    </row>
    <row r="165" spans="1:23" ht="20" customHeight="1">
      <c r="A165" s="161">
        <f t="shared" si="44"/>
        <v>137</v>
      </c>
      <c r="B165" s="91" t="s">
        <v>376</v>
      </c>
      <c r="C165" s="184" t="s">
        <v>380</v>
      </c>
      <c r="D165" s="185">
        <v>430</v>
      </c>
      <c r="E165" s="185"/>
      <c r="F165" s="186"/>
      <c r="G165" s="185">
        <f t="shared" si="54"/>
        <v>430</v>
      </c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5">
        <f t="shared" si="57"/>
        <v>430</v>
      </c>
      <c r="U165" s="185">
        <f t="shared" si="58"/>
        <v>430</v>
      </c>
      <c r="V165" s="185">
        <f t="shared" si="55"/>
        <v>430</v>
      </c>
      <c r="W165" s="188">
        <f t="shared" si="56"/>
        <v>430</v>
      </c>
    </row>
    <row r="166" spans="1:23" ht="20" customHeight="1">
      <c r="A166" s="161">
        <f t="shared" si="44"/>
        <v>138</v>
      </c>
      <c r="B166" s="183" t="s">
        <v>236</v>
      </c>
      <c r="C166" s="91"/>
      <c r="D166" s="167">
        <v>30</v>
      </c>
      <c r="E166" s="167"/>
      <c r="F166" s="80"/>
      <c r="G166" s="167">
        <f t="shared" si="54"/>
        <v>30</v>
      </c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67">
        <f t="shared" si="57"/>
        <v>30</v>
      </c>
      <c r="U166" s="167">
        <f t="shared" si="58"/>
        <v>30</v>
      </c>
      <c r="V166" s="167">
        <f t="shared" si="55"/>
        <v>30</v>
      </c>
      <c r="W166" s="167">
        <f t="shared" si="56"/>
        <v>30</v>
      </c>
    </row>
    <row r="167" spans="1:23" ht="20" customHeight="1">
      <c r="A167" s="161">
        <f t="shared" ref="A167:A197" si="59">+A166+1</f>
        <v>139</v>
      </c>
      <c r="B167" s="183" t="s">
        <v>237</v>
      </c>
      <c r="C167" s="91"/>
      <c r="D167" s="167">
        <v>54</v>
      </c>
      <c r="E167" s="167"/>
      <c r="F167" s="80"/>
      <c r="G167" s="167">
        <f t="shared" si="54"/>
        <v>54</v>
      </c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67">
        <f t="shared" si="57"/>
        <v>54</v>
      </c>
      <c r="U167" s="167">
        <f t="shared" si="58"/>
        <v>54</v>
      </c>
      <c r="V167" s="167">
        <f t="shared" si="55"/>
        <v>54</v>
      </c>
      <c r="W167" s="167">
        <f t="shared" si="56"/>
        <v>54</v>
      </c>
    </row>
    <row r="168" spans="1:23" ht="20" customHeight="1">
      <c r="A168" s="161">
        <f t="shared" si="59"/>
        <v>140</v>
      </c>
      <c r="B168" s="183" t="s">
        <v>384</v>
      </c>
      <c r="C168" s="91"/>
      <c r="D168" s="167">
        <v>91</v>
      </c>
      <c r="E168" s="167"/>
      <c r="F168" s="80"/>
      <c r="G168" s="167">
        <f t="shared" si="54"/>
        <v>91</v>
      </c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67">
        <f t="shared" si="57"/>
        <v>91</v>
      </c>
      <c r="U168" s="167">
        <f t="shared" si="58"/>
        <v>91</v>
      </c>
      <c r="V168" s="167">
        <f t="shared" si="55"/>
        <v>91</v>
      </c>
      <c r="W168" s="167">
        <f t="shared" si="56"/>
        <v>91</v>
      </c>
    </row>
    <row r="169" spans="1:23" ht="20" customHeight="1">
      <c r="A169" s="161">
        <f t="shared" si="59"/>
        <v>141</v>
      </c>
      <c r="B169" s="183" t="s">
        <v>385</v>
      </c>
      <c r="C169" s="91"/>
      <c r="D169" s="167">
        <v>118</v>
      </c>
      <c r="E169" s="167"/>
      <c r="F169" s="80"/>
      <c r="G169" s="167">
        <f t="shared" si="54"/>
        <v>118</v>
      </c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67">
        <f t="shared" si="57"/>
        <v>118</v>
      </c>
      <c r="U169" s="167">
        <f t="shared" si="58"/>
        <v>118</v>
      </c>
      <c r="V169" s="167">
        <f t="shared" si="55"/>
        <v>118</v>
      </c>
      <c r="W169" s="167">
        <f t="shared" si="56"/>
        <v>118</v>
      </c>
    </row>
    <row r="170" spans="1:23" ht="20" customHeight="1">
      <c r="A170" s="161">
        <f t="shared" si="59"/>
        <v>142</v>
      </c>
      <c r="B170" s="183" t="s">
        <v>386</v>
      </c>
      <c r="C170" s="91"/>
      <c r="D170" s="167">
        <v>177</v>
      </c>
      <c r="E170" s="167"/>
      <c r="F170" s="80"/>
      <c r="G170" s="167">
        <f t="shared" si="54"/>
        <v>177</v>
      </c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67">
        <f t="shared" si="57"/>
        <v>177</v>
      </c>
      <c r="U170" s="167">
        <f t="shared" si="58"/>
        <v>177</v>
      </c>
      <c r="V170" s="167">
        <f t="shared" si="55"/>
        <v>177</v>
      </c>
      <c r="W170" s="167">
        <f t="shared" si="56"/>
        <v>177</v>
      </c>
    </row>
    <row r="171" spans="1:23" ht="20" customHeight="1">
      <c r="A171" s="161">
        <f t="shared" si="59"/>
        <v>143</v>
      </c>
      <c r="B171" s="183" t="s">
        <v>387</v>
      </c>
      <c r="C171" s="91"/>
      <c r="D171" s="167">
        <v>31</v>
      </c>
      <c r="E171" s="167"/>
      <c r="F171" s="80"/>
      <c r="G171" s="167">
        <f t="shared" si="54"/>
        <v>31</v>
      </c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67">
        <f t="shared" si="57"/>
        <v>31</v>
      </c>
      <c r="U171" s="167">
        <f t="shared" si="58"/>
        <v>31</v>
      </c>
      <c r="V171" s="167">
        <f t="shared" si="55"/>
        <v>31</v>
      </c>
      <c r="W171" s="167">
        <f t="shared" si="56"/>
        <v>31</v>
      </c>
    </row>
    <row r="172" spans="1:23" ht="20" customHeight="1">
      <c r="A172" s="161">
        <f t="shared" si="59"/>
        <v>144</v>
      </c>
      <c r="B172" s="183" t="s">
        <v>238</v>
      </c>
      <c r="C172" s="91"/>
      <c r="D172" s="167">
        <v>55</v>
      </c>
      <c r="E172" s="167"/>
      <c r="F172" s="80"/>
      <c r="G172" s="167">
        <f t="shared" si="54"/>
        <v>55</v>
      </c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67">
        <f t="shared" si="57"/>
        <v>55</v>
      </c>
      <c r="U172" s="167">
        <f t="shared" si="58"/>
        <v>55</v>
      </c>
      <c r="V172" s="167">
        <f t="shared" si="55"/>
        <v>55</v>
      </c>
      <c r="W172" s="167">
        <f t="shared" si="56"/>
        <v>55</v>
      </c>
    </row>
    <row r="173" spans="1:23" ht="20" customHeight="1">
      <c r="A173" s="161">
        <f t="shared" si="59"/>
        <v>145</v>
      </c>
      <c r="B173" s="183" t="s">
        <v>239</v>
      </c>
      <c r="C173" s="91"/>
      <c r="D173" s="167">
        <v>96</v>
      </c>
      <c r="E173" s="167"/>
      <c r="F173" s="80"/>
      <c r="G173" s="167">
        <f t="shared" si="54"/>
        <v>96</v>
      </c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67">
        <f t="shared" si="57"/>
        <v>96</v>
      </c>
      <c r="U173" s="167">
        <f t="shared" si="58"/>
        <v>96</v>
      </c>
      <c r="V173" s="167">
        <f t="shared" si="55"/>
        <v>96</v>
      </c>
      <c r="W173" s="167">
        <f t="shared" si="56"/>
        <v>96</v>
      </c>
    </row>
    <row r="174" spans="1:23" ht="20" customHeight="1">
      <c r="A174" s="161">
        <f t="shared" si="59"/>
        <v>146</v>
      </c>
      <c r="B174" s="183" t="s">
        <v>240</v>
      </c>
      <c r="C174" s="91"/>
      <c r="D174" s="167">
        <v>142</v>
      </c>
      <c r="E174" s="167"/>
      <c r="F174" s="80"/>
      <c r="G174" s="167">
        <f t="shared" ref="G174:G181" si="60">+D174+E174</f>
        <v>142</v>
      </c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67">
        <f t="shared" ref="T174:T181" si="61">IF(D174=0,0,$D174+$H174+$K174+$N174+$Q174)</f>
        <v>142</v>
      </c>
      <c r="U174" s="167">
        <f t="shared" ref="U174:U181" si="62">IF(G174=0,0,G174+J174+M174+P174+S174)</f>
        <v>142</v>
      </c>
      <c r="V174" s="167">
        <f t="shared" si="55"/>
        <v>142</v>
      </c>
      <c r="W174" s="167">
        <f t="shared" si="56"/>
        <v>142</v>
      </c>
    </row>
    <row r="175" spans="1:23" ht="20" customHeight="1">
      <c r="A175" s="161">
        <f t="shared" si="59"/>
        <v>147</v>
      </c>
      <c r="B175" s="183" t="s">
        <v>241</v>
      </c>
      <c r="C175" s="91"/>
      <c r="D175" s="167">
        <v>224</v>
      </c>
      <c r="E175" s="167"/>
      <c r="F175" s="80"/>
      <c r="G175" s="167">
        <f t="shared" si="60"/>
        <v>224</v>
      </c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67">
        <f t="shared" si="61"/>
        <v>224</v>
      </c>
      <c r="U175" s="167">
        <f t="shared" si="62"/>
        <v>224</v>
      </c>
      <c r="V175" s="167">
        <f t="shared" si="55"/>
        <v>224</v>
      </c>
      <c r="W175" s="167">
        <f t="shared" si="56"/>
        <v>224</v>
      </c>
    </row>
    <row r="176" spans="1:23" ht="20" customHeight="1">
      <c r="A176" s="161">
        <f t="shared" si="59"/>
        <v>148</v>
      </c>
      <c r="B176" s="183" t="s">
        <v>242</v>
      </c>
      <c r="C176" s="91"/>
      <c r="D176" s="167">
        <v>40</v>
      </c>
      <c r="E176" s="167"/>
      <c r="F176" s="80"/>
      <c r="G176" s="167">
        <f t="shared" si="60"/>
        <v>40</v>
      </c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67">
        <f t="shared" si="61"/>
        <v>40</v>
      </c>
      <c r="U176" s="167">
        <f t="shared" si="62"/>
        <v>40</v>
      </c>
      <c r="V176" s="167">
        <f t="shared" si="55"/>
        <v>40</v>
      </c>
      <c r="W176" s="167">
        <f t="shared" si="56"/>
        <v>40</v>
      </c>
    </row>
    <row r="177" spans="1:23" ht="20" customHeight="1">
      <c r="A177" s="161">
        <f t="shared" si="59"/>
        <v>149</v>
      </c>
      <c r="B177" s="183" t="s">
        <v>243</v>
      </c>
      <c r="C177" s="91"/>
      <c r="D177" s="167">
        <v>73</v>
      </c>
      <c r="E177" s="167"/>
      <c r="F177" s="80"/>
      <c r="G177" s="167">
        <f t="shared" si="60"/>
        <v>73</v>
      </c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67">
        <f t="shared" si="61"/>
        <v>73</v>
      </c>
      <c r="U177" s="167">
        <f t="shared" si="62"/>
        <v>73</v>
      </c>
      <c r="V177" s="167">
        <f t="shared" si="55"/>
        <v>73</v>
      </c>
      <c r="W177" s="167">
        <f t="shared" si="56"/>
        <v>73</v>
      </c>
    </row>
    <row r="178" spans="1:23" ht="20" customHeight="1">
      <c r="A178" s="161">
        <f t="shared" si="59"/>
        <v>150</v>
      </c>
      <c r="B178" s="183" t="s">
        <v>244</v>
      </c>
      <c r="C178" s="91"/>
      <c r="D178" s="167">
        <v>136</v>
      </c>
      <c r="E178" s="167"/>
      <c r="F178" s="80"/>
      <c r="G178" s="167">
        <f t="shared" si="60"/>
        <v>136</v>
      </c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67">
        <f t="shared" si="61"/>
        <v>136</v>
      </c>
      <c r="U178" s="167">
        <f t="shared" si="62"/>
        <v>136</v>
      </c>
      <c r="V178" s="167">
        <f t="shared" si="55"/>
        <v>136</v>
      </c>
      <c r="W178" s="167">
        <f t="shared" si="56"/>
        <v>136</v>
      </c>
    </row>
    <row r="179" spans="1:23" ht="20" customHeight="1">
      <c r="A179" s="161">
        <f t="shared" si="59"/>
        <v>151</v>
      </c>
      <c r="B179" s="183" t="s">
        <v>245</v>
      </c>
      <c r="C179" s="91"/>
      <c r="D179" s="167">
        <v>183</v>
      </c>
      <c r="E179" s="167"/>
      <c r="F179" s="80"/>
      <c r="G179" s="167">
        <f t="shared" si="60"/>
        <v>183</v>
      </c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67">
        <f t="shared" si="61"/>
        <v>183</v>
      </c>
      <c r="U179" s="167">
        <f t="shared" si="62"/>
        <v>183</v>
      </c>
      <c r="V179" s="167">
        <f t="shared" si="55"/>
        <v>183</v>
      </c>
      <c r="W179" s="167">
        <f t="shared" si="56"/>
        <v>183</v>
      </c>
    </row>
    <row r="180" spans="1:23" ht="20" customHeight="1">
      <c r="A180" s="161">
        <f t="shared" si="59"/>
        <v>152</v>
      </c>
      <c r="B180" s="183" t="s">
        <v>246</v>
      </c>
      <c r="C180" s="91"/>
      <c r="D180" s="167">
        <v>283</v>
      </c>
      <c r="E180" s="167"/>
      <c r="F180" s="80"/>
      <c r="G180" s="167">
        <f t="shared" si="60"/>
        <v>283</v>
      </c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67">
        <f t="shared" si="61"/>
        <v>283</v>
      </c>
      <c r="U180" s="167">
        <f t="shared" si="62"/>
        <v>283</v>
      </c>
      <c r="V180" s="167">
        <f t="shared" si="55"/>
        <v>283</v>
      </c>
      <c r="W180" s="167">
        <f t="shared" si="56"/>
        <v>283</v>
      </c>
    </row>
    <row r="181" spans="1:23" ht="20" customHeight="1">
      <c r="A181" s="161">
        <f t="shared" si="59"/>
        <v>153</v>
      </c>
      <c r="B181" s="183" t="s">
        <v>247</v>
      </c>
      <c r="C181" s="91"/>
      <c r="D181" s="167">
        <v>55</v>
      </c>
      <c r="E181" s="167"/>
      <c r="F181" s="80"/>
      <c r="G181" s="167">
        <f t="shared" si="60"/>
        <v>55</v>
      </c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67">
        <f t="shared" si="61"/>
        <v>55</v>
      </c>
      <c r="U181" s="167">
        <f t="shared" si="62"/>
        <v>55</v>
      </c>
      <c r="V181" s="167">
        <f t="shared" si="55"/>
        <v>55</v>
      </c>
      <c r="W181" s="167">
        <f t="shared" si="56"/>
        <v>55</v>
      </c>
    </row>
    <row r="182" spans="1:23" ht="20" customHeight="1">
      <c r="A182" s="161">
        <f t="shared" si="59"/>
        <v>154</v>
      </c>
      <c r="B182" s="183" t="s">
        <v>248</v>
      </c>
      <c r="C182" s="91"/>
      <c r="D182" s="167">
        <v>98</v>
      </c>
      <c r="E182" s="167"/>
      <c r="F182" s="80"/>
      <c r="G182" s="167">
        <f t="shared" ref="G182:G189" si="63">+D182+E182</f>
        <v>98</v>
      </c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67">
        <f t="shared" ref="T182:T189" si="64">IF(D182=0,0,$D182+$H182+$K182+$N182+$Q182)</f>
        <v>98</v>
      </c>
      <c r="U182" s="167">
        <f t="shared" ref="U182:U189" si="65">IF(G182=0,0,G182+J182+M182+P182+S182)</f>
        <v>98</v>
      </c>
      <c r="V182" s="167">
        <f t="shared" si="55"/>
        <v>98</v>
      </c>
      <c r="W182" s="167">
        <f t="shared" si="56"/>
        <v>98</v>
      </c>
    </row>
    <row r="183" spans="1:23" ht="20" customHeight="1">
      <c r="A183" s="161">
        <f t="shared" si="59"/>
        <v>155</v>
      </c>
      <c r="B183" s="183" t="s">
        <v>249</v>
      </c>
      <c r="C183" s="91"/>
      <c r="D183" s="167">
        <v>176</v>
      </c>
      <c r="E183" s="167"/>
      <c r="F183" s="80"/>
      <c r="G183" s="167">
        <f t="shared" si="63"/>
        <v>176</v>
      </c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67">
        <f t="shared" si="64"/>
        <v>176</v>
      </c>
      <c r="U183" s="167">
        <f t="shared" si="65"/>
        <v>176</v>
      </c>
      <c r="V183" s="167">
        <f t="shared" si="55"/>
        <v>176</v>
      </c>
      <c r="W183" s="167">
        <f t="shared" si="56"/>
        <v>176</v>
      </c>
    </row>
    <row r="184" spans="1:23" ht="20" customHeight="1">
      <c r="A184" s="161">
        <f t="shared" si="59"/>
        <v>156</v>
      </c>
      <c r="B184" s="183" t="s">
        <v>250</v>
      </c>
      <c r="C184" s="91"/>
      <c r="D184" s="167">
        <v>224</v>
      </c>
      <c r="E184" s="167"/>
      <c r="F184" s="80"/>
      <c r="G184" s="167">
        <f t="shared" si="63"/>
        <v>224</v>
      </c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67">
        <f t="shared" si="64"/>
        <v>224</v>
      </c>
      <c r="U184" s="167">
        <f t="shared" si="65"/>
        <v>224</v>
      </c>
      <c r="V184" s="167">
        <f t="shared" si="55"/>
        <v>224</v>
      </c>
      <c r="W184" s="167">
        <f t="shared" si="56"/>
        <v>224</v>
      </c>
    </row>
    <row r="185" spans="1:23" ht="20" customHeight="1">
      <c r="A185" s="161">
        <f t="shared" si="59"/>
        <v>157</v>
      </c>
      <c r="B185" s="183" t="s">
        <v>251</v>
      </c>
      <c r="C185" s="91"/>
      <c r="D185" s="167">
        <v>342</v>
      </c>
      <c r="E185" s="167"/>
      <c r="F185" s="80"/>
      <c r="G185" s="167">
        <f t="shared" si="63"/>
        <v>342</v>
      </c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67">
        <f t="shared" si="64"/>
        <v>342</v>
      </c>
      <c r="U185" s="167">
        <f t="shared" si="65"/>
        <v>342</v>
      </c>
      <c r="V185" s="167">
        <f t="shared" si="55"/>
        <v>342</v>
      </c>
      <c r="W185" s="167">
        <f t="shared" si="56"/>
        <v>342</v>
      </c>
    </row>
    <row r="186" spans="1:23" ht="20" customHeight="1">
      <c r="A186" s="161">
        <f t="shared" si="59"/>
        <v>158</v>
      </c>
      <c r="B186" s="183" t="s">
        <v>253</v>
      </c>
      <c r="C186" s="91"/>
      <c r="D186" s="167">
        <v>47</v>
      </c>
      <c r="E186" s="167"/>
      <c r="F186" s="80"/>
      <c r="G186" s="167">
        <f t="shared" si="63"/>
        <v>47</v>
      </c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67">
        <f t="shared" si="64"/>
        <v>47</v>
      </c>
      <c r="U186" s="167">
        <f t="shared" si="65"/>
        <v>47</v>
      </c>
      <c r="V186" s="167">
        <f t="shared" si="55"/>
        <v>47</v>
      </c>
      <c r="W186" s="167">
        <f t="shared" si="56"/>
        <v>47</v>
      </c>
    </row>
    <row r="187" spans="1:23" ht="20" customHeight="1">
      <c r="A187" s="161">
        <f t="shared" si="59"/>
        <v>159</v>
      </c>
      <c r="B187" s="183" t="s">
        <v>254</v>
      </c>
      <c r="C187" s="91"/>
      <c r="D187" s="167">
        <v>84</v>
      </c>
      <c r="E187" s="167"/>
      <c r="F187" s="80"/>
      <c r="G187" s="167">
        <f t="shared" si="63"/>
        <v>84</v>
      </c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67">
        <f t="shared" si="64"/>
        <v>84</v>
      </c>
      <c r="U187" s="167">
        <f t="shared" si="65"/>
        <v>84</v>
      </c>
      <c r="V187" s="167">
        <f t="shared" si="55"/>
        <v>84</v>
      </c>
      <c r="W187" s="167">
        <f t="shared" si="56"/>
        <v>84</v>
      </c>
    </row>
    <row r="188" spans="1:23" ht="20" customHeight="1">
      <c r="A188" s="161">
        <f t="shared" si="59"/>
        <v>160</v>
      </c>
      <c r="B188" s="183" t="s">
        <v>255</v>
      </c>
      <c r="C188" s="91"/>
      <c r="D188" s="167">
        <v>151</v>
      </c>
      <c r="E188" s="167"/>
      <c r="F188" s="80"/>
      <c r="G188" s="167">
        <f t="shared" si="63"/>
        <v>151</v>
      </c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67">
        <f t="shared" si="64"/>
        <v>151</v>
      </c>
      <c r="U188" s="167">
        <f t="shared" si="65"/>
        <v>151</v>
      </c>
      <c r="V188" s="167">
        <f t="shared" si="55"/>
        <v>151</v>
      </c>
      <c r="W188" s="167">
        <f t="shared" si="56"/>
        <v>151</v>
      </c>
    </row>
    <row r="189" spans="1:23" ht="20" customHeight="1">
      <c r="A189" s="161">
        <f t="shared" si="59"/>
        <v>161</v>
      </c>
      <c r="B189" s="183" t="s">
        <v>256</v>
      </c>
      <c r="C189" s="91"/>
      <c r="D189" s="167">
        <v>201</v>
      </c>
      <c r="E189" s="167"/>
      <c r="F189" s="80"/>
      <c r="G189" s="167">
        <f t="shared" si="63"/>
        <v>201</v>
      </c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67">
        <f t="shared" si="64"/>
        <v>201</v>
      </c>
      <c r="U189" s="167">
        <f t="shared" si="65"/>
        <v>201</v>
      </c>
      <c r="V189" s="167">
        <f t="shared" si="55"/>
        <v>201</v>
      </c>
      <c r="W189" s="167">
        <f t="shared" si="56"/>
        <v>201</v>
      </c>
    </row>
    <row r="190" spans="1:23" ht="20" customHeight="1">
      <c r="A190" s="161">
        <f t="shared" si="59"/>
        <v>162</v>
      </c>
      <c r="B190" s="183" t="s">
        <v>252</v>
      </c>
      <c r="C190" s="91"/>
      <c r="D190" s="167">
        <v>307</v>
      </c>
      <c r="E190" s="167"/>
      <c r="F190" s="80"/>
      <c r="G190" s="167">
        <f t="shared" si="54"/>
        <v>307</v>
      </c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67">
        <f t="shared" si="57"/>
        <v>307</v>
      </c>
      <c r="U190" s="167">
        <f t="shared" si="58"/>
        <v>307</v>
      </c>
      <c r="V190" s="167">
        <f t="shared" si="55"/>
        <v>307</v>
      </c>
      <c r="W190" s="167">
        <f t="shared" si="56"/>
        <v>307</v>
      </c>
    </row>
    <row r="191" spans="1:23" ht="20" customHeight="1">
      <c r="A191" s="161">
        <f t="shared" si="59"/>
        <v>163</v>
      </c>
      <c r="B191" s="183"/>
      <c r="C191" s="91"/>
      <c r="D191" s="167"/>
      <c r="E191" s="167"/>
      <c r="F191" s="80"/>
      <c r="G191" s="167">
        <f t="shared" si="54"/>
        <v>0</v>
      </c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67">
        <f t="shared" si="57"/>
        <v>0</v>
      </c>
      <c r="U191" s="167">
        <f t="shared" si="58"/>
        <v>0</v>
      </c>
      <c r="V191" s="167">
        <f t="shared" si="55"/>
        <v>0</v>
      </c>
      <c r="W191" s="167">
        <f t="shared" si="56"/>
        <v>0</v>
      </c>
    </row>
    <row r="192" spans="1:23" ht="20" customHeight="1">
      <c r="A192" s="161">
        <f t="shared" si="59"/>
        <v>164</v>
      </c>
      <c r="B192" s="183"/>
      <c r="C192" s="91"/>
      <c r="D192" s="167"/>
      <c r="E192" s="167"/>
      <c r="F192" s="80"/>
      <c r="G192" s="167">
        <f t="shared" ref="G192:G193" si="66">+D192+E192</f>
        <v>0</v>
      </c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67">
        <f t="shared" ref="T192:T193" si="67">IF(D192=0,0,$D192+$H192+$K192+$N192+$Q192)</f>
        <v>0</v>
      </c>
      <c r="U192" s="167">
        <f t="shared" ref="U192:U193" si="68">IF(G192=0,0,G192+J192+M192+P192+S192)</f>
        <v>0</v>
      </c>
      <c r="V192" s="167">
        <f t="shared" si="55"/>
        <v>0</v>
      </c>
      <c r="W192" s="167">
        <f t="shared" si="56"/>
        <v>0</v>
      </c>
    </row>
    <row r="193" spans="1:23" ht="20" customHeight="1">
      <c r="A193" s="161">
        <f t="shared" si="59"/>
        <v>165</v>
      </c>
      <c r="B193" s="183"/>
      <c r="C193" s="91"/>
      <c r="D193" s="167"/>
      <c r="E193" s="167"/>
      <c r="F193" s="80"/>
      <c r="G193" s="167">
        <f t="shared" si="66"/>
        <v>0</v>
      </c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67">
        <f t="shared" si="67"/>
        <v>0</v>
      </c>
      <c r="U193" s="167">
        <f t="shared" si="68"/>
        <v>0</v>
      </c>
      <c r="V193" s="167">
        <f t="shared" si="55"/>
        <v>0</v>
      </c>
      <c r="W193" s="167">
        <f t="shared" si="56"/>
        <v>0</v>
      </c>
    </row>
    <row r="194" spans="1:23" ht="20" customHeight="1">
      <c r="A194" s="161">
        <f t="shared" si="59"/>
        <v>166</v>
      </c>
      <c r="B194" s="183"/>
      <c r="C194" s="91"/>
      <c r="D194" s="167"/>
      <c r="E194" s="167"/>
      <c r="F194" s="80"/>
      <c r="G194" s="167">
        <f t="shared" ref="G194:G195" si="69">+D194+E194</f>
        <v>0</v>
      </c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67">
        <f t="shared" ref="T194:T195" si="70">IF(D194=0,0,$D194+$H194+$K194+$N194+$Q194)</f>
        <v>0</v>
      </c>
      <c r="U194" s="167">
        <f t="shared" ref="U194:U195" si="71">IF(G194=0,0,G194+J194+M194+P194+S194)</f>
        <v>0</v>
      </c>
      <c r="V194" s="167">
        <f t="shared" si="55"/>
        <v>0</v>
      </c>
      <c r="W194" s="167">
        <f t="shared" si="56"/>
        <v>0</v>
      </c>
    </row>
    <row r="195" spans="1:23" ht="20" customHeight="1">
      <c r="A195" s="161">
        <f t="shared" si="59"/>
        <v>167</v>
      </c>
      <c r="B195" s="183"/>
      <c r="C195" s="91"/>
      <c r="D195" s="167"/>
      <c r="E195" s="167"/>
      <c r="F195" s="80"/>
      <c r="G195" s="167">
        <f t="shared" si="69"/>
        <v>0</v>
      </c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67">
        <f t="shared" si="70"/>
        <v>0</v>
      </c>
      <c r="U195" s="167">
        <f t="shared" si="71"/>
        <v>0</v>
      </c>
      <c r="V195" s="167">
        <f t="shared" si="55"/>
        <v>0</v>
      </c>
      <c r="W195" s="167">
        <f t="shared" si="56"/>
        <v>0</v>
      </c>
    </row>
    <row r="196" spans="1:23" ht="20" customHeight="1">
      <c r="A196" s="161">
        <f t="shared" si="59"/>
        <v>168</v>
      </c>
      <c r="B196" s="183"/>
      <c r="C196" s="91"/>
      <c r="D196" s="167"/>
      <c r="E196" s="167"/>
      <c r="F196" s="80"/>
      <c r="G196" s="167">
        <f t="shared" si="54"/>
        <v>0</v>
      </c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67">
        <f t="shared" si="57"/>
        <v>0</v>
      </c>
      <c r="U196" s="167">
        <f t="shared" si="58"/>
        <v>0</v>
      </c>
      <c r="V196" s="167">
        <f t="shared" si="55"/>
        <v>0</v>
      </c>
      <c r="W196" s="167">
        <f t="shared" si="56"/>
        <v>0</v>
      </c>
    </row>
    <row r="197" spans="1:23" ht="20" customHeight="1">
      <c r="A197" s="161">
        <f t="shared" si="59"/>
        <v>169</v>
      </c>
      <c r="B197" s="183"/>
      <c r="C197" s="91"/>
      <c r="D197" s="167"/>
      <c r="E197" s="167"/>
      <c r="F197" s="80"/>
      <c r="G197" s="167">
        <f t="shared" si="54"/>
        <v>0</v>
      </c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67">
        <f t="shared" si="57"/>
        <v>0</v>
      </c>
      <c r="U197" s="167">
        <f t="shared" si="58"/>
        <v>0</v>
      </c>
      <c r="V197" s="167">
        <f t="shared" si="55"/>
        <v>0</v>
      </c>
      <c r="W197" s="167">
        <f t="shared" si="56"/>
        <v>0</v>
      </c>
    </row>
    <row r="201" spans="1:23" ht="38" customHeight="1" thickBot="1">
      <c r="C201"/>
      <c r="D201" s="390" t="s">
        <v>365</v>
      </c>
      <c r="E201" s="390"/>
      <c r="F201" s="390"/>
      <c r="G201" s="390"/>
    </row>
    <row r="202" spans="1:23" ht="24" customHeight="1">
      <c r="A202" s="135">
        <v>18</v>
      </c>
      <c r="B202" s="136" t="s">
        <v>148</v>
      </c>
      <c r="C202" s="137" t="s">
        <v>328</v>
      </c>
      <c r="D202" s="137">
        <v>1</v>
      </c>
      <c r="E202" s="137">
        <v>5</v>
      </c>
      <c r="F202" s="137">
        <v>10</v>
      </c>
      <c r="G202" s="137">
        <v>25</v>
      </c>
      <c r="H202" s="137">
        <v>50</v>
      </c>
      <c r="I202" s="137">
        <v>100</v>
      </c>
      <c r="J202" s="137">
        <v>250</v>
      </c>
      <c r="K202" s="137">
        <v>500</v>
      </c>
      <c r="L202" s="138">
        <v>1000</v>
      </c>
    </row>
    <row r="203" spans="1:23" ht="24" customHeight="1">
      <c r="A203" s="139">
        <v>1</v>
      </c>
      <c r="B203" s="132" t="s">
        <v>15</v>
      </c>
      <c r="C203" s="132"/>
      <c r="D203" s="145"/>
      <c r="E203" s="145"/>
      <c r="F203" s="148"/>
      <c r="G203" s="149" t="s">
        <v>260</v>
      </c>
      <c r="H203" s="132" t="s">
        <v>260</v>
      </c>
      <c r="I203" s="132" t="s">
        <v>326</v>
      </c>
      <c r="J203" s="148"/>
      <c r="K203" s="149" t="s">
        <v>441</v>
      </c>
      <c r="L203" s="150" t="s">
        <v>441</v>
      </c>
    </row>
    <row r="204" spans="1:23" ht="24" customHeight="1">
      <c r="A204" s="139">
        <f t="shared" ref="A204:A255" si="72">+A203+1</f>
        <v>2</v>
      </c>
      <c r="B204" s="134" t="s">
        <v>35</v>
      </c>
      <c r="C204" s="132"/>
      <c r="D204" s="145"/>
      <c r="E204" s="145"/>
      <c r="F204" s="148"/>
      <c r="G204" s="149" t="s">
        <v>260</v>
      </c>
      <c r="H204" s="132" t="s">
        <v>260</v>
      </c>
      <c r="I204" s="132" t="s">
        <v>326</v>
      </c>
      <c r="J204" s="148"/>
      <c r="K204" s="149" t="s">
        <v>441</v>
      </c>
      <c r="L204" s="150" t="s">
        <v>441</v>
      </c>
    </row>
    <row r="205" spans="1:23" ht="24" customHeight="1">
      <c r="A205" s="139">
        <f t="shared" si="72"/>
        <v>3</v>
      </c>
      <c r="B205" s="134" t="s">
        <v>543</v>
      </c>
      <c r="C205" s="132"/>
      <c r="D205" s="145"/>
      <c r="E205" s="145"/>
      <c r="F205" s="148"/>
      <c r="G205" s="149" t="s">
        <v>260</v>
      </c>
      <c r="H205" s="132" t="s">
        <v>260</v>
      </c>
      <c r="I205" s="132" t="s">
        <v>326</v>
      </c>
      <c r="J205" s="148"/>
      <c r="K205" s="149" t="s">
        <v>441</v>
      </c>
      <c r="L205" s="150" t="s">
        <v>441</v>
      </c>
    </row>
    <row r="206" spans="1:23" ht="24" customHeight="1">
      <c r="A206" s="139">
        <f t="shared" si="72"/>
        <v>4</v>
      </c>
      <c r="B206" s="134" t="s">
        <v>1</v>
      </c>
      <c r="C206" s="132"/>
      <c r="D206" s="145"/>
      <c r="E206" s="145"/>
      <c r="F206" s="148"/>
      <c r="G206" s="149" t="s">
        <v>260</v>
      </c>
      <c r="H206" s="132" t="s">
        <v>260</v>
      </c>
      <c r="I206" s="132" t="s">
        <v>326</v>
      </c>
      <c r="J206" s="148"/>
      <c r="K206" s="149" t="s">
        <v>441</v>
      </c>
      <c r="L206" s="150" t="s">
        <v>441</v>
      </c>
    </row>
    <row r="207" spans="1:23" ht="24" customHeight="1">
      <c r="A207" s="139">
        <f t="shared" si="72"/>
        <v>5</v>
      </c>
      <c r="B207" s="134" t="s">
        <v>158</v>
      </c>
      <c r="C207" s="132"/>
      <c r="D207" s="145"/>
      <c r="E207" s="145"/>
      <c r="F207" s="148"/>
      <c r="G207" s="149" t="s">
        <v>260</v>
      </c>
      <c r="H207" s="132" t="s">
        <v>260</v>
      </c>
      <c r="I207" s="132" t="s">
        <v>326</v>
      </c>
      <c r="J207" s="148"/>
      <c r="K207" s="149" t="s">
        <v>441</v>
      </c>
      <c r="L207" s="150" t="s">
        <v>441</v>
      </c>
    </row>
    <row r="208" spans="1:23" ht="24" customHeight="1">
      <c r="A208" s="139">
        <f t="shared" si="72"/>
        <v>6</v>
      </c>
      <c r="B208" s="134" t="s">
        <v>5</v>
      </c>
      <c r="C208" s="132"/>
      <c r="D208" s="145"/>
      <c r="E208" s="145"/>
      <c r="F208" s="148"/>
      <c r="G208" s="149" t="s">
        <v>260</v>
      </c>
      <c r="H208" s="132" t="s">
        <v>260</v>
      </c>
      <c r="I208" s="132" t="s">
        <v>326</v>
      </c>
      <c r="J208" s="148"/>
      <c r="K208" s="149" t="s">
        <v>441</v>
      </c>
      <c r="L208" s="150" t="s">
        <v>441</v>
      </c>
    </row>
    <row r="209" spans="1:12" ht="24" customHeight="1">
      <c r="A209" s="139">
        <f t="shared" si="72"/>
        <v>7</v>
      </c>
      <c r="B209" s="134" t="s">
        <v>161</v>
      </c>
      <c r="C209" s="132"/>
      <c r="D209" s="145"/>
      <c r="E209" s="145"/>
      <c r="F209" s="148"/>
      <c r="G209" s="149" t="s">
        <v>260</v>
      </c>
      <c r="H209" s="132" t="s">
        <v>260</v>
      </c>
      <c r="I209" s="132" t="s">
        <v>326</v>
      </c>
      <c r="J209" s="148"/>
      <c r="K209" s="149" t="s">
        <v>441</v>
      </c>
      <c r="L209" s="150" t="s">
        <v>441</v>
      </c>
    </row>
    <row r="210" spans="1:12" ht="24" customHeight="1">
      <c r="A210" s="139">
        <f t="shared" si="72"/>
        <v>8</v>
      </c>
      <c r="B210" s="134" t="s">
        <v>163</v>
      </c>
      <c r="C210" s="132"/>
      <c r="D210" s="145"/>
      <c r="E210" s="145"/>
      <c r="F210" s="148"/>
      <c r="G210" s="149" t="s">
        <v>260</v>
      </c>
      <c r="H210" s="132" t="s">
        <v>260</v>
      </c>
      <c r="I210" s="132" t="s">
        <v>326</v>
      </c>
      <c r="J210" s="148"/>
      <c r="K210" s="149" t="s">
        <v>441</v>
      </c>
      <c r="L210" s="150" t="s">
        <v>441</v>
      </c>
    </row>
    <row r="211" spans="1:12" ht="24" customHeight="1">
      <c r="A211" s="139">
        <f t="shared" si="72"/>
        <v>9</v>
      </c>
      <c r="B211" s="134" t="s">
        <v>0</v>
      </c>
      <c r="C211" s="132"/>
      <c r="D211" s="145"/>
      <c r="E211" s="145"/>
      <c r="F211" s="148"/>
      <c r="G211" s="149" t="s">
        <v>260</v>
      </c>
      <c r="H211" s="132" t="s">
        <v>260</v>
      </c>
      <c r="I211" s="132" t="s">
        <v>260</v>
      </c>
      <c r="J211" s="148"/>
      <c r="K211" s="149" t="s">
        <v>440</v>
      </c>
      <c r="L211" s="150" t="s">
        <v>441</v>
      </c>
    </row>
    <row r="212" spans="1:12" ht="24" customHeight="1">
      <c r="A212" s="139">
        <f t="shared" si="72"/>
        <v>10</v>
      </c>
      <c r="B212" s="134" t="s">
        <v>2</v>
      </c>
      <c r="C212" s="132"/>
      <c r="D212" s="145"/>
      <c r="E212" s="145"/>
      <c r="F212" s="148"/>
      <c r="G212" s="149" t="s">
        <v>260</v>
      </c>
      <c r="H212" s="132" t="s">
        <v>260</v>
      </c>
      <c r="I212" s="132" t="s">
        <v>260</v>
      </c>
      <c r="J212" s="148"/>
      <c r="K212" s="149" t="s">
        <v>441</v>
      </c>
      <c r="L212" s="150" t="s">
        <v>441</v>
      </c>
    </row>
    <row r="213" spans="1:12" ht="24" customHeight="1">
      <c r="A213" s="139">
        <f t="shared" si="72"/>
        <v>11</v>
      </c>
      <c r="B213" s="134" t="s">
        <v>3</v>
      </c>
      <c r="C213" s="132"/>
      <c r="D213" s="145"/>
      <c r="E213" s="145"/>
      <c r="F213" s="148"/>
      <c r="G213" s="149" t="s">
        <v>260</v>
      </c>
      <c r="H213" s="132" t="s">
        <v>260</v>
      </c>
      <c r="I213" s="149" t="s">
        <v>260</v>
      </c>
      <c r="J213" s="148"/>
      <c r="K213" s="149" t="s">
        <v>440</v>
      </c>
      <c r="L213" s="150" t="s">
        <v>441</v>
      </c>
    </row>
    <row r="214" spans="1:12" ht="24" customHeight="1">
      <c r="A214" s="139">
        <f t="shared" si="72"/>
        <v>12</v>
      </c>
      <c r="B214" s="134" t="s">
        <v>41</v>
      </c>
      <c r="C214" s="132"/>
      <c r="D214" s="145"/>
      <c r="E214" s="145"/>
      <c r="F214" s="148"/>
      <c r="G214" s="149"/>
      <c r="H214" s="132"/>
      <c r="I214" s="149" t="s">
        <v>260</v>
      </c>
      <c r="J214" s="148"/>
      <c r="K214" s="149" t="s">
        <v>440</v>
      </c>
      <c r="L214" s="150" t="s">
        <v>441</v>
      </c>
    </row>
    <row r="215" spans="1:12" ht="24" customHeight="1">
      <c r="A215" s="139">
        <f t="shared" si="72"/>
        <v>13</v>
      </c>
      <c r="B215" s="132" t="s">
        <v>16</v>
      </c>
      <c r="C215" s="132"/>
      <c r="D215" s="145"/>
      <c r="E215" s="145"/>
      <c r="F215" s="148"/>
      <c r="G215" s="149" t="s">
        <v>260</v>
      </c>
      <c r="H215" s="132" t="s">
        <v>260</v>
      </c>
      <c r="I215" s="132" t="s">
        <v>326</v>
      </c>
      <c r="J215" s="148"/>
      <c r="K215" s="149" t="s">
        <v>441</v>
      </c>
      <c r="L215" s="150" t="s">
        <v>441</v>
      </c>
    </row>
    <row r="216" spans="1:12" ht="24" customHeight="1">
      <c r="A216" s="139">
        <f t="shared" si="72"/>
        <v>14</v>
      </c>
      <c r="B216" s="132" t="s">
        <v>12</v>
      </c>
      <c r="C216" s="132"/>
      <c r="D216" s="145"/>
      <c r="E216" s="145"/>
      <c r="F216" s="148"/>
      <c r="G216" s="149" t="s">
        <v>260</v>
      </c>
      <c r="H216" s="132" t="s">
        <v>260</v>
      </c>
      <c r="I216" s="132" t="s">
        <v>260</v>
      </c>
      <c r="J216" s="148"/>
      <c r="K216" s="149" t="s">
        <v>440</v>
      </c>
      <c r="L216" s="150" t="s">
        <v>441</v>
      </c>
    </row>
    <row r="217" spans="1:12" ht="24" customHeight="1">
      <c r="A217" s="139">
        <f t="shared" si="72"/>
        <v>15</v>
      </c>
      <c r="B217" s="132" t="s">
        <v>13</v>
      </c>
      <c r="C217" s="132"/>
      <c r="D217" s="145"/>
      <c r="E217" s="145"/>
      <c r="F217" s="148"/>
      <c r="G217" s="149" t="s">
        <v>260</v>
      </c>
      <c r="H217" s="132" t="s">
        <v>260</v>
      </c>
      <c r="I217" s="132" t="s">
        <v>326</v>
      </c>
      <c r="J217" s="148"/>
      <c r="K217" s="149" t="s">
        <v>441</v>
      </c>
      <c r="L217" s="150" t="s">
        <v>441</v>
      </c>
    </row>
    <row r="218" spans="1:12" ht="24" customHeight="1">
      <c r="A218" s="139">
        <f t="shared" si="72"/>
        <v>16</v>
      </c>
      <c r="B218" s="134" t="s">
        <v>172</v>
      </c>
      <c r="C218" s="132"/>
      <c r="D218" s="145"/>
      <c r="E218" s="145"/>
      <c r="F218" s="148"/>
      <c r="G218" s="148"/>
      <c r="H218" s="132" t="s">
        <v>323</v>
      </c>
      <c r="I218" s="132" t="s">
        <v>323</v>
      </c>
      <c r="J218" s="148"/>
      <c r="K218" s="132" t="s">
        <v>326</v>
      </c>
      <c r="L218" s="266" t="s">
        <v>327</v>
      </c>
    </row>
    <row r="219" spans="1:12" ht="24" customHeight="1">
      <c r="A219" s="139">
        <f t="shared" si="72"/>
        <v>17</v>
      </c>
      <c r="B219" s="134" t="s">
        <v>174</v>
      </c>
      <c r="C219" s="132"/>
      <c r="D219" s="145"/>
      <c r="E219" s="145"/>
      <c r="F219" s="148"/>
      <c r="G219" s="148"/>
      <c r="H219" s="148"/>
      <c r="I219" s="265" t="s">
        <v>235</v>
      </c>
      <c r="J219" s="148"/>
      <c r="K219" s="149" t="s">
        <v>440</v>
      </c>
      <c r="L219" s="150" t="s">
        <v>441</v>
      </c>
    </row>
    <row r="220" spans="1:12" ht="24" customHeight="1">
      <c r="A220" s="139">
        <f t="shared" si="72"/>
        <v>18</v>
      </c>
      <c r="B220" s="134" t="s">
        <v>176</v>
      </c>
      <c r="C220" s="132"/>
      <c r="D220" s="145"/>
      <c r="E220" s="145"/>
      <c r="F220" s="148"/>
      <c r="G220" s="148"/>
      <c r="H220" s="148"/>
      <c r="I220" s="265" t="s">
        <v>235</v>
      </c>
      <c r="J220" s="148"/>
      <c r="K220" s="149" t="s">
        <v>440</v>
      </c>
      <c r="L220" s="150" t="s">
        <v>441</v>
      </c>
    </row>
    <row r="221" spans="1:12" ht="24" customHeight="1">
      <c r="A221" s="139">
        <f t="shared" si="72"/>
        <v>19</v>
      </c>
      <c r="B221" s="134" t="s">
        <v>228</v>
      </c>
      <c r="C221" s="132"/>
      <c r="D221" s="145"/>
      <c r="E221" s="145"/>
      <c r="F221" s="148"/>
      <c r="G221" s="148"/>
      <c r="H221" s="148"/>
      <c r="I221" s="265" t="s">
        <v>235</v>
      </c>
      <c r="J221" s="148"/>
      <c r="K221" s="149" t="s">
        <v>440</v>
      </c>
      <c r="L221" s="150" t="s">
        <v>441</v>
      </c>
    </row>
    <row r="222" spans="1:12" ht="20" customHeight="1">
      <c r="A222" s="139">
        <f t="shared" si="72"/>
        <v>20</v>
      </c>
      <c r="B222" s="134" t="s">
        <v>555</v>
      </c>
      <c r="C222" s="149"/>
      <c r="D222" s="133"/>
      <c r="E222" s="133"/>
      <c r="F222" s="133"/>
      <c r="G222" s="133"/>
      <c r="H222" s="133"/>
      <c r="I222" s="265" t="s">
        <v>235</v>
      </c>
      <c r="J222" s="148"/>
      <c r="K222" s="149" t="s">
        <v>440</v>
      </c>
      <c r="L222" s="150" t="s">
        <v>441</v>
      </c>
    </row>
    <row r="223" spans="1:12" ht="20" customHeight="1">
      <c r="A223" s="139">
        <f t="shared" si="72"/>
        <v>21</v>
      </c>
      <c r="B223" s="79" t="s">
        <v>540</v>
      </c>
      <c r="C223" s="149"/>
      <c r="D223" s="133"/>
      <c r="E223" s="133"/>
      <c r="F223" s="133"/>
      <c r="G223" s="133"/>
      <c r="H223" s="133"/>
      <c r="I223" s="265" t="s">
        <v>235</v>
      </c>
      <c r="J223" s="148"/>
      <c r="K223" s="149" t="s">
        <v>440</v>
      </c>
      <c r="L223" s="150" t="s">
        <v>441</v>
      </c>
    </row>
    <row r="224" spans="1:12" ht="24" customHeight="1">
      <c r="A224" s="139">
        <f>+A221+1</f>
        <v>20</v>
      </c>
      <c r="B224" s="134" t="s">
        <v>179</v>
      </c>
      <c r="C224" s="132"/>
      <c r="D224" s="145"/>
      <c r="E224" s="145"/>
      <c r="F224" s="148"/>
      <c r="G224" s="148"/>
      <c r="H224" s="148"/>
      <c r="I224" s="265" t="s">
        <v>235</v>
      </c>
      <c r="J224" s="148"/>
      <c r="K224" s="149" t="s">
        <v>440</v>
      </c>
      <c r="L224" s="150" t="s">
        <v>441</v>
      </c>
    </row>
    <row r="225" spans="1:12" ht="24" customHeight="1">
      <c r="A225" s="139">
        <f t="shared" si="72"/>
        <v>21</v>
      </c>
      <c r="B225" s="134" t="s">
        <v>181</v>
      </c>
      <c r="C225" s="132"/>
      <c r="D225" s="145"/>
      <c r="E225" s="145"/>
      <c r="F225" s="148"/>
      <c r="G225" s="148"/>
      <c r="H225" s="148"/>
      <c r="I225" s="265" t="s">
        <v>235</v>
      </c>
      <c r="J225" s="148"/>
      <c r="K225" s="149" t="s">
        <v>440</v>
      </c>
      <c r="L225" s="150" t="s">
        <v>441</v>
      </c>
    </row>
    <row r="226" spans="1:12" ht="24" customHeight="1">
      <c r="A226" s="139">
        <f t="shared" si="72"/>
        <v>22</v>
      </c>
      <c r="B226" s="134" t="s">
        <v>183</v>
      </c>
      <c r="C226" s="132"/>
      <c r="D226" s="145"/>
      <c r="E226" s="145"/>
      <c r="F226" s="148"/>
      <c r="G226" s="148"/>
      <c r="H226" s="148"/>
      <c r="I226" s="265" t="s">
        <v>235</v>
      </c>
      <c r="J226" s="148"/>
      <c r="K226" s="149" t="s">
        <v>440</v>
      </c>
      <c r="L226" s="150" t="s">
        <v>441</v>
      </c>
    </row>
    <row r="227" spans="1:12" ht="24" customHeight="1">
      <c r="A227" s="139">
        <f t="shared" si="72"/>
        <v>23</v>
      </c>
      <c r="B227" s="134" t="s">
        <v>185</v>
      </c>
      <c r="C227" s="132"/>
      <c r="D227" s="145"/>
      <c r="E227" s="145"/>
      <c r="F227" s="148"/>
      <c r="G227" s="148"/>
      <c r="H227" s="148"/>
      <c r="I227" s="265" t="s">
        <v>235</v>
      </c>
      <c r="J227" s="148"/>
      <c r="K227" s="149" t="s">
        <v>440</v>
      </c>
      <c r="L227" s="150" t="s">
        <v>441</v>
      </c>
    </row>
    <row r="228" spans="1:12" ht="24" customHeight="1">
      <c r="A228" s="139">
        <f t="shared" si="72"/>
        <v>24</v>
      </c>
      <c r="B228" s="134" t="s">
        <v>187</v>
      </c>
      <c r="C228" s="132"/>
      <c r="D228" s="145"/>
      <c r="E228" s="145"/>
      <c r="F228" s="148"/>
      <c r="G228" s="148"/>
      <c r="H228" s="148"/>
      <c r="I228" s="265" t="s">
        <v>235</v>
      </c>
      <c r="J228" s="148"/>
      <c r="K228" s="149" t="s">
        <v>440</v>
      </c>
      <c r="L228" s="150" t="s">
        <v>441</v>
      </c>
    </row>
    <row r="229" spans="1:12" ht="24" customHeight="1">
      <c r="A229" s="139">
        <f t="shared" si="72"/>
        <v>25</v>
      </c>
      <c r="B229" s="134" t="s">
        <v>189</v>
      </c>
      <c r="C229" s="132"/>
      <c r="D229" s="145"/>
      <c r="E229" s="145"/>
      <c r="F229" s="148"/>
      <c r="G229" s="148"/>
      <c r="H229" s="148"/>
      <c r="I229" s="265" t="s">
        <v>235</v>
      </c>
      <c r="J229" s="148"/>
      <c r="K229" s="149" t="s">
        <v>440</v>
      </c>
      <c r="L229" s="150" t="s">
        <v>441</v>
      </c>
    </row>
    <row r="230" spans="1:12" ht="24" customHeight="1">
      <c r="A230" s="139">
        <f t="shared" si="72"/>
        <v>26</v>
      </c>
      <c r="B230" s="132" t="s">
        <v>19</v>
      </c>
      <c r="C230" s="132"/>
      <c r="D230" s="145"/>
      <c r="E230" s="145"/>
      <c r="F230" s="148"/>
      <c r="G230" s="148"/>
      <c r="H230" s="245" t="s">
        <v>323</v>
      </c>
      <c r="I230" s="132" t="s">
        <v>323</v>
      </c>
      <c r="J230" s="148"/>
      <c r="K230" s="132" t="s">
        <v>326</v>
      </c>
      <c r="L230" s="266" t="s">
        <v>327</v>
      </c>
    </row>
    <row r="231" spans="1:12" ht="24" customHeight="1">
      <c r="A231" s="139">
        <f t="shared" si="72"/>
        <v>27</v>
      </c>
      <c r="B231" s="132" t="s">
        <v>75</v>
      </c>
      <c r="C231" s="132"/>
      <c r="D231" s="145"/>
      <c r="E231" s="145"/>
      <c r="F231" s="148"/>
      <c r="G231" s="148"/>
      <c r="H231" s="148"/>
      <c r="I231" s="265" t="s">
        <v>235</v>
      </c>
      <c r="J231" s="148"/>
      <c r="K231" s="149" t="s">
        <v>440</v>
      </c>
      <c r="L231" s="150" t="s">
        <v>441</v>
      </c>
    </row>
    <row r="232" spans="1:12" ht="24" customHeight="1">
      <c r="A232" s="139">
        <f t="shared" si="72"/>
        <v>28</v>
      </c>
      <c r="B232" s="132" t="s">
        <v>76</v>
      </c>
      <c r="C232" s="132"/>
      <c r="D232" s="145"/>
      <c r="E232" s="145"/>
      <c r="F232" s="148"/>
      <c r="G232" s="148"/>
      <c r="H232" s="148"/>
      <c r="I232" s="265" t="s">
        <v>235</v>
      </c>
      <c r="J232" s="148"/>
      <c r="K232" s="149" t="s">
        <v>440</v>
      </c>
      <c r="L232" s="150" t="s">
        <v>441</v>
      </c>
    </row>
    <row r="233" spans="1:12" ht="24" customHeight="1">
      <c r="A233" s="139">
        <f t="shared" si="72"/>
        <v>29</v>
      </c>
      <c r="B233" s="132" t="s">
        <v>452</v>
      </c>
      <c r="C233" s="132"/>
      <c r="D233" s="145"/>
      <c r="E233" s="145"/>
      <c r="F233" s="148"/>
      <c r="G233" s="148"/>
      <c r="H233" s="265" t="s">
        <v>235</v>
      </c>
      <c r="I233" s="265" t="s">
        <v>235</v>
      </c>
      <c r="J233" s="148"/>
      <c r="K233" s="149" t="s">
        <v>440</v>
      </c>
      <c r="L233" s="150" t="s">
        <v>441</v>
      </c>
    </row>
    <row r="234" spans="1:12" ht="20" customHeight="1">
      <c r="A234" s="139">
        <f t="shared" si="72"/>
        <v>30</v>
      </c>
      <c r="B234" s="132" t="s">
        <v>69</v>
      </c>
      <c r="C234" s="149"/>
      <c r="D234" s="133"/>
      <c r="E234" s="133"/>
      <c r="F234" s="133"/>
      <c r="G234" s="133"/>
      <c r="H234" s="265" t="s">
        <v>235</v>
      </c>
      <c r="I234" s="265" t="s">
        <v>235</v>
      </c>
      <c r="J234" s="148"/>
      <c r="K234" s="149" t="s">
        <v>440</v>
      </c>
      <c r="L234" s="150" t="s">
        <v>441</v>
      </c>
    </row>
    <row r="235" spans="1:12" ht="20" customHeight="1">
      <c r="A235" s="139">
        <f t="shared" si="72"/>
        <v>31</v>
      </c>
      <c r="B235" s="132" t="s">
        <v>554</v>
      </c>
      <c r="C235" s="149"/>
      <c r="D235" s="133"/>
      <c r="E235" s="133"/>
      <c r="F235" s="133"/>
      <c r="G235" s="133"/>
      <c r="H235" s="133"/>
      <c r="I235" s="265" t="s">
        <v>235</v>
      </c>
      <c r="J235" s="148"/>
      <c r="K235" s="149" t="s">
        <v>440</v>
      </c>
      <c r="L235" s="150" t="s">
        <v>441</v>
      </c>
    </row>
    <row r="236" spans="1:12" ht="24" customHeight="1">
      <c r="A236" s="139">
        <f>+A233+1</f>
        <v>30</v>
      </c>
      <c r="B236" s="132" t="s">
        <v>195</v>
      </c>
      <c r="C236" s="132"/>
      <c r="D236" s="145"/>
      <c r="E236" s="145"/>
      <c r="F236" s="148"/>
      <c r="G236" s="148"/>
      <c r="H236" s="148"/>
      <c r="I236" s="265" t="s">
        <v>235</v>
      </c>
      <c r="J236" s="148"/>
      <c r="K236" s="149" t="s">
        <v>440</v>
      </c>
      <c r="L236" s="150" t="s">
        <v>441</v>
      </c>
    </row>
    <row r="237" spans="1:12" ht="24" customHeight="1">
      <c r="A237" s="139">
        <f t="shared" si="72"/>
        <v>31</v>
      </c>
      <c r="B237" s="132" t="s">
        <v>197</v>
      </c>
      <c r="C237" s="132"/>
      <c r="D237" s="145"/>
      <c r="E237" s="145"/>
      <c r="F237" s="148"/>
      <c r="G237" s="148"/>
      <c r="H237" s="148"/>
      <c r="I237" s="265" t="s">
        <v>235</v>
      </c>
      <c r="J237" s="148"/>
      <c r="K237" s="149" t="s">
        <v>440</v>
      </c>
      <c r="L237" s="150" t="s">
        <v>441</v>
      </c>
    </row>
    <row r="238" spans="1:12" ht="24" customHeight="1">
      <c r="A238" s="139">
        <f t="shared" si="72"/>
        <v>32</v>
      </c>
      <c r="B238" s="132" t="s">
        <v>199</v>
      </c>
      <c r="C238" s="132"/>
      <c r="D238" s="145"/>
      <c r="E238" s="145"/>
      <c r="F238" s="148"/>
      <c r="G238" s="148"/>
      <c r="H238" s="265" t="s">
        <v>235</v>
      </c>
      <c r="I238" s="265" t="s">
        <v>235</v>
      </c>
      <c r="J238" s="148"/>
      <c r="K238" s="149" t="s">
        <v>440</v>
      </c>
      <c r="L238" s="150" t="s">
        <v>441</v>
      </c>
    </row>
    <row r="239" spans="1:12" ht="24" customHeight="1">
      <c r="A239" s="139">
        <f t="shared" si="72"/>
        <v>33</v>
      </c>
      <c r="B239" s="132" t="s">
        <v>6</v>
      </c>
      <c r="C239" s="132"/>
      <c r="D239" s="145"/>
      <c r="E239" s="145"/>
      <c r="F239" s="148"/>
      <c r="G239" s="148"/>
      <c r="H239" s="148"/>
      <c r="I239" s="265" t="s">
        <v>235</v>
      </c>
      <c r="J239" s="148"/>
      <c r="K239" s="149" t="s">
        <v>440</v>
      </c>
      <c r="L239" s="150" t="s">
        <v>441</v>
      </c>
    </row>
    <row r="240" spans="1:12" ht="24" customHeight="1">
      <c r="A240" s="139">
        <f t="shared" si="72"/>
        <v>34</v>
      </c>
      <c r="B240" s="132" t="s">
        <v>20</v>
      </c>
      <c r="C240" s="132"/>
      <c r="D240" s="145"/>
      <c r="E240" s="145"/>
      <c r="F240" s="148"/>
      <c r="G240" s="148"/>
      <c r="H240" s="148"/>
      <c r="I240" s="265" t="s">
        <v>235</v>
      </c>
      <c r="J240" s="148"/>
      <c r="K240" s="149" t="s">
        <v>440</v>
      </c>
      <c r="L240" s="150" t="s">
        <v>441</v>
      </c>
    </row>
    <row r="241" spans="1:12" ht="24" customHeight="1">
      <c r="A241" s="139">
        <f t="shared" si="72"/>
        <v>35</v>
      </c>
      <c r="B241" s="132" t="s">
        <v>7</v>
      </c>
      <c r="C241" s="132"/>
      <c r="D241" s="145"/>
      <c r="E241" s="145"/>
      <c r="F241" s="148"/>
      <c r="G241" s="148"/>
      <c r="H241" s="265" t="s">
        <v>235</v>
      </c>
      <c r="I241" s="265" t="s">
        <v>235</v>
      </c>
      <c r="J241" s="148"/>
      <c r="K241" s="149" t="s">
        <v>440</v>
      </c>
      <c r="L241" s="150" t="s">
        <v>441</v>
      </c>
    </row>
    <row r="242" spans="1:12" ht="24" customHeight="1">
      <c r="A242" s="139">
        <f t="shared" si="72"/>
        <v>36</v>
      </c>
      <c r="B242" s="134" t="s">
        <v>204</v>
      </c>
      <c r="C242" s="132"/>
      <c r="D242" s="132" t="s">
        <v>323</v>
      </c>
      <c r="E242" s="132" t="s">
        <v>323</v>
      </c>
      <c r="F242" s="132" t="s">
        <v>323</v>
      </c>
      <c r="G242" s="148"/>
      <c r="H242" s="148"/>
      <c r="I242" s="132"/>
      <c r="J242" s="148"/>
      <c r="K242" s="132"/>
      <c r="L242" s="266"/>
    </row>
    <row r="243" spans="1:12" ht="24" customHeight="1">
      <c r="A243" s="139">
        <f t="shared" si="72"/>
        <v>37</v>
      </c>
      <c r="B243" s="132" t="s">
        <v>206</v>
      </c>
      <c r="C243" s="132"/>
      <c r="D243" s="145"/>
      <c r="E243" s="145"/>
      <c r="F243" s="148"/>
      <c r="G243" s="148"/>
      <c r="H243" s="148"/>
      <c r="I243" s="132" t="s">
        <v>323</v>
      </c>
      <c r="J243" s="148"/>
      <c r="K243" s="132" t="s">
        <v>326</v>
      </c>
      <c r="L243" s="266" t="s">
        <v>327</v>
      </c>
    </row>
    <row r="244" spans="1:12" ht="24" customHeight="1">
      <c r="A244" s="139">
        <f t="shared" si="72"/>
        <v>38</v>
      </c>
      <c r="B244" s="132" t="s">
        <v>208</v>
      </c>
      <c r="C244" s="132"/>
      <c r="D244" s="145"/>
      <c r="E244" s="145"/>
      <c r="F244" s="148"/>
      <c r="G244" s="148"/>
      <c r="H244" s="148"/>
      <c r="I244" s="132" t="s">
        <v>323</v>
      </c>
      <c r="J244" s="148"/>
      <c r="K244" s="132" t="s">
        <v>326</v>
      </c>
      <c r="L244" s="266" t="s">
        <v>327</v>
      </c>
    </row>
    <row r="245" spans="1:12" ht="24" customHeight="1">
      <c r="A245" s="139">
        <f t="shared" si="72"/>
        <v>39</v>
      </c>
      <c r="B245" s="132" t="s">
        <v>210</v>
      </c>
      <c r="C245" s="132"/>
      <c r="D245" s="145"/>
      <c r="E245" s="145"/>
      <c r="F245" s="148"/>
      <c r="G245" s="148"/>
      <c r="H245" s="148"/>
      <c r="I245" s="132" t="s">
        <v>323</v>
      </c>
      <c r="J245" s="148"/>
      <c r="K245" s="132" t="s">
        <v>326</v>
      </c>
      <c r="L245" s="266" t="s">
        <v>327</v>
      </c>
    </row>
    <row r="246" spans="1:12" ht="24" customHeight="1">
      <c r="A246" s="139">
        <f t="shared" si="72"/>
        <v>40</v>
      </c>
      <c r="B246" s="132" t="s">
        <v>212</v>
      </c>
      <c r="C246" s="132"/>
      <c r="D246" s="145"/>
      <c r="E246" s="145"/>
      <c r="F246" s="148"/>
      <c r="G246" s="148"/>
      <c r="H246" s="148"/>
      <c r="I246" s="132" t="s">
        <v>323</v>
      </c>
      <c r="J246" s="148"/>
      <c r="K246" s="132" t="s">
        <v>326</v>
      </c>
      <c r="L246" s="266" t="s">
        <v>327</v>
      </c>
    </row>
    <row r="247" spans="1:12" ht="24" customHeight="1">
      <c r="A247" s="139">
        <f t="shared" si="72"/>
        <v>41</v>
      </c>
      <c r="B247" s="132" t="s">
        <v>214</v>
      </c>
      <c r="C247" s="132"/>
      <c r="D247" s="145"/>
      <c r="E247" s="145"/>
      <c r="F247" s="148"/>
      <c r="G247" s="148"/>
      <c r="H247" s="148"/>
      <c r="I247" s="132" t="s">
        <v>323</v>
      </c>
      <c r="J247" s="148"/>
      <c r="K247" s="132" t="s">
        <v>326</v>
      </c>
      <c r="L247" s="266" t="s">
        <v>327</v>
      </c>
    </row>
    <row r="248" spans="1:12" ht="24" customHeight="1">
      <c r="A248" s="139">
        <f t="shared" si="72"/>
        <v>42</v>
      </c>
      <c r="B248" s="132" t="s">
        <v>18</v>
      </c>
      <c r="C248" s="132"/>
      <c r="D248" s="145"/>
      <c r="E248" s="145"/>
      <c r="F248" s="148"/>
      <c r="G248" s="148"/>
      <c r="H248" s="148"/>
      <c r="I248" s="132" t="s">
        <v>323</v>
      </c>
      <c r="J248" s="148"/>
      <c r="K248" s="132" t="s">
        <v>326</v>
      </c>
      <c r="L248" s="266" t="s">
        <v>327</v>
      </c>
    </row>
    <row r="249" spans="1:12" ht="24" customHeight="1">
      <c r="A249" s="139">
        <f t="shared" si="72"/>
        <v>43</v>
      </c>
      <c r="B249" s="132" t="s">
        <v>553</v>
      </c>
      <c r="C249" s="132"/>
      <c r="D249" s="145"/>
      <c r="E249" s="145"/>
      <c r="F249" s="148"/>
      <c r="G249" s="148"/>
      <c r="H249" s="148"/>
      <c r="I249" s="132"/>
      <c r="J249" s="132" t="s">
        <v>323</v>
      </c>
      <c r="K249" s="132" t="s">
        <v>323</v>
      </c>
      <c r="L249" s="266" t="s">
        <v>323</v>
      </c>
    </row>
    <row r="250" spans="1:12" ht="24" customHeight="1">
      <c r="A250" s="139">
        <f t="shared" si="72"/>
        <v>44</v>
      </c>
      <c r="B250" s="132" t="s">
        <v>217</v>
      </c>
      <c r="C250" s="132"/>
      <c r="D250" s="145"/>
      <c r="E250" s="145"/>
      <c r="F250" s="148"/>
      <c r="G250" s="148"/>
      <c r="H250" s="148"/>
      <c r="I250" s="80"/>
      <c r="J250" s="132" t="s">
        <v>323</v>
      </c>
      <c r="K250" s="132" t="s">
        <v>323</v>
      </c>
      <c r="L250" s="266" t="s">
        <v>323</v>
      </c>
    </row>
    <row r="251" spans="1:12" ht="24" customHeight="1">
      <c r="A251" s="139">
        <f t="shared" si="72"/>
        <v>45</v>
      </c>
      <c r="B251" s="132" t="s">
        <v>270</v>
      </c>
      <c r="C251" s="132"/>
      <c r="D251" s="145"/>
      <c r="E251" s="145"/>
      <c r="F251" s="148"/>
      <c r="G251" s="149" t="s">
        <v>260</v>
      </c>
      <c r="H251" s="149" t="s">
        <v>260</v>
      </c>
      <c r="I251" s="132" t="s">
        <v>326</v>
      </c>
      <c r="J251" s="148"/>
      <c r="K251" s="149" t="s">
        <v>440</v>
      </c>
      <c r="L251" s="150" t="s">
        <v>441</v>
      </c>
    </row>
    <row r="252" spans="1:12" ht="24" customHeight="1">
      <c r="A252" s="139">
        <f t="shared" si="72"/>
        <v>46</v>
      </c>
      <c r="B252" s="132" t="s">
        <v>272</v>
      </c>
      <c r="C252" s="132"/>
      <c r="D252" s="145"/>
      <c r="E252" s="145"/>
      <c r="F252" s="148"/>
      <c r="G252" s="149" t="s">
        <v>260</v>
      </c>
      <c r="H252" s="149" t="s">
        <v>260</v>
      </c>
      <c r="I252" s="149" t="s">
        <v>260</v>
      </c>
      <c r="J252" s="148"/>
      <c r="K252" s="149" t="s">
        <v>440</v>
      </c>
      <c r="L252" s="150" t="s">
        <v>441</v>
      </c>
    </row>
    <row r="253" spans="1:12" ht="24" customHeight="1">
      <c r="A253" s="139">
        <f t="shared" si="72"/>
        <v>47</v>
      </c>
      <c r="B253" s="132" t="s">
        <v>288</v>
      </c>
      <c r="C253" s="132"/>
      <c r="D253" s="145"/>
      <c r="E253" s="145"/>
      <c r="F253" s="148"/>
      <c r="G253" s="149" t="s">
        <v>260</v>
      </c>
      <c r="H253" s="149" t="s">
        <v>260</v>
      </c>
      <c r="I253" s="149" t="s">
        <v>260</v>
      </c>
      <c r="J253" s="148"/>
      <c r="K253" s="149" t="s">
        <v>440</v>
      </c>
      <c r="L253" s="150" t="s">
        <v>441</v>
      </c>
    </row>
    <row r="254" spans="1:12" ht="24" customHeight="1">
      <c r="A254" s="139">
        <f t="shared" si="72"/>
        <v>48</v>
      </c>
      <c r="B254" s="132" t="s">
        <v>17</v>
      </c>
      <c r="C254" s="132"/>
      <c r="D254" s="145"/>
      <c r="E254" s="145"/>
      <c r="F254" s="148"/>
      <c r="G254" s="149" t="s">
        <v>260</v>
      </c>
      <c r="H254" s="149" t="s">
        <v>260</v>
      </c>
      <c r="I254" s="132" t="s">
        <v>326</v>
      </c>
      <c r="J254" s="148"/>
      <c r="K254" s="149" t="s">
        <v>441</v>
      </c>
      <c r="L254" s="150" t="s">
        <v>441</v>
      </c>
    </row>
    <row r="255" spans="1:12" ht="24" customHeight="1" thickBot="1">
      <c r="A255" s="139">
        <f t="shared" si="72"/>
        <v>49</v>
      </c>
      <c r="B255" s="141" t="s">
        <v>40</v>
      </c>
      <c r="C255" s="147"/>
      <c r="D255" s="142"/>
      <c r="E255" s="142"/>
      <c r="F255" s="142"/>
      <c r="G255" s="151" t="s">
        <v>260</v>
      </c>
      <c r="H255" s="151" t="s">
        <v>260</v>
      </c>
      <c r="I255" s="151" t="s">
        <v>260</v>
      </c>
      <c r="J255" s="142"/>
      <c r="K255" s="151" t="s">
        <v>440</v>
      </c>
      <c r="L255" s="153" t="s">
        <v>441</v>
      </c>
    </row>
    <row r="260" spans="1:12" ht="43" customHeight="1" thickBot="1">
      <c r="D260" s="390" t="s">
        <v>367</v>
      </c>
      <c r="E260" s="390"/>
      <c r="F260" s="390"/>
      <c r="G260" s="390"/>
    </row>
    <row r="261" spans="1:12" ht="20" customHeight="1">
      <c r="A261" s="135" t="s">
        <v>147</v>
      </c>
      <c r="B261" s="136" t="s">
        <v>148</v>
      </c>
      <c r="C261" s="137" t="s">
        <v>328</v>
      </c>
      <c r="D261" s="137">
        <v>1</v>
      </c>
      <c r="E261" s="137">
        <v>5</v>
      </c>
      <c r="F261" s="137">
        <v>10</v>
      </c>
      <c r="G261" s="137">
        <v>25</v>
      </c>
      <c r="H261" s="137">
        <v>50</v>
      </c>
      <c r="I261" s="137">
        <v>100</v>
      </c>
      <c r="J261" s="137">
        <v>250</v>
      </c>
      <c r="K261" s="137">
        <v>500</v>
      </c>
      <c r="L261" s="138">
        <v>1000</v>
      </c>
    </row>
    <row r="262" spans="1:12" ht="20" customHeight="1">
      <c r="A262" s="139">
        <v>1</v>
      </c>
      <c r="B262" s="132" t="s">
        <v>15</v>
      </c>
      <c r="C262" s="149" t="s">
        <v>322</v>
      </c>
      <c r="D262" s="148"/>
      <c r="E262" s="148"/>
      <c r="F262" s="148"/>
      <c r="G262" s="132" t="s">
        <v>323</v>
      </c>
      <c r="H262" s="132" t="s">
        <v>323</v>
      </c>
      <c r="I262" s="132" t="s">
        <v>323</v>
      </c>
      <c r="J262" s="148"/>
      <c r="K262" s="149" t="s">
        <v>326</v>
      </c>
      <c r="L262" s="150" t="s">
        <v>327</v>
      </c>
    </row>
    <row r="263" spans="1:12" ht="20" customHeight="1">
      <c r="A263" s="139">
        <f t="shared" ref="A263:A314" si="73">+A262+1</f>
        <v>2</v>
      </c>
      <c r="B263" s="134" t="s">
        <v>35</v>
      </c>
      <c r="C263" s="149" t="s">
        <v>322</v>
      </c>
      <c r="D263" s="148"/>
      <c r="E263" s="148"/>
      <c r="F263" s="148"/>
      <c r="G263" s="132" t="s">
        <v>323</v>
      </c>
      <c r="H263" s="132" t="s">
        <v>323</v>
      </c>
      <c r="I263" s="132" t="s">
        <v>323</v>
      </c>
      <c r="J263" s="148"/>
      <c r="K263" s="149" t="s">
        <v>326</v>
      </c>
      <c r="L263" s="150" t="s">
        <v>327</v>
      </c>
    </row>
    <row r="264" spans="1:12" ht="20" customHeight="1">
      <c r="A264" s="139">
        <f t="shared" si="73"/>
        <v>3</v>
      </c>
      <c r="B264" s="134" t="s">
        <v>543</v>
      </c>
      <c r="C264" s="149" t="s">
        <v>322</v>
      </c>
      <c r="D264" s="148"/>
      <c r="E264" s="148"/>
      <c r="F264" s="148"/>
      <c r="G264" s="132" t="s">
        <v>323</v>
      </c>
      <c r="H264" s="132" t="s">
        <v>323</v>
      </c>
      <c r="I264" s="132" t="s">
        <v>323</v>
      </c>
      <c r="J264" s="148"/>
      <c r="K264" s="149" t="s">
        <v>326</v>
      </c>
      <c r="L264" s="150" t="s">
        <v>327</v>
      </c>
    </row>
    <row r="265" spans="1:12" ht="20" customHeight="1">
      <c r="A265" s="139">
        <f t="shared" si="73"/>
        <v>4</v>
      </c>
      <c r="B265" s="134" t="s">
        <v>1</v>
      </c>
      <c r="C265" s="149" t="s">
        <v>322</v>
      </c>
      <c r="D265" s="148"/>
      <c r="E265" s="148"/>
      <c r="F265" s="148"/>
      <c r="G265" s="132" t="s">
        <v>323</v>
      </c>
      <c r="H265" s="132" t="s">
        <v>323</v>
      </c>
      <c r="I265" s="132" t="s">
        <v>323</v>
      </c>
      <c r="J265" s="148"/>
      <c r="K265" s="149" t="s">
        <v>326</v>
      </c>
      <c r="L265" s="150" t="s">
        <v>327</v>
      </c>
    </row>
    <row r="266" spans="1:12" ht="20" customHeight="1">
      <c r="A266" s="139">
        <f t="shared" si="73"/>
        <v>5</v>
      </c>
      <c r="B266" s="134" t="s">
        <v>158</v>
      </c>
      <c r="C266" s="149" t="s">
        <v>322</v>
      </c>
      <c r="D266" s="148"/>
      <c r="E266" s="148"/>
      <c r="F266" s="148"/>
      <c r="G266" s="132" t="s">
        <v>323</v>
      </c>
      <c r="H266" s="132" t="s">
        <v>323</v>
      </c>
      <c r="I266" s="132" t="s">
        <v>323</v>
      </c>
      <c r="J266" s="148"/>
      <c r="K266" s="149" t="s">
        <v>326</v>
      </c>
      <c r="L266" s="150" t="s">
        <v>327</v>
      </c>
    </row>
    <row r="267" spans="1:12" ht="20" customHeight="1">
      <c r="A267" s="139">
        <f t="shared" si="73"/>
        <v>6</v>
      </c>
      <c r="B267" s="134" t="s">
        <v>5</v>
      </c>
      <c r="C267" s="149" t="s">
        <v>322</v>
      </c>
      <c r="D267" s="148"/>
      <c r="E267" s="148"/>
      <c r="F267" s="148"/>
      <c r="G267" s="132" t="s">
        <v>323</v>
      </c>
      <c r="H267" s="132" t="s">
        <v>323</v>
      </c>
      <c r="I267" s="132" t="s">
        <v>323</v>
      </c>
      <c r="J267" s="148"/>
      <c r="K267" s="149" t="s">
        <v>326</v>
      </c>
      <c r="L267" s="150" t="s">
        <v>327</v>
      </c>
    </row>
    <row r="268" spans="1:12" ht="20" customHeight="1">
      <c r="A268" s="139">
        <f t="shared" si="73"/>
        <v>7</v>
      </c>
      <c r="B268" s="134" t="s">
        <v>161</v>
      </c>
      <c r="C268" s="149" t="s">
        <v>322</v>
      </c>
      <c r="D268" s="148"/>
      <c r="E268" s="148"/>
      <c r="F268" s="148"/>
      <c r="G268" s="132" t="s">
        <v>323</v>
      </c>
      <c r="H268" s="132" t="s">
        <v>323</v>
      </c>
      <c r="I268" s="132" t="s">
        <v>323</v>
      </c>
      <c r="J268" s="148"/>
      <c r="K268" s="149" t="s">
        <v>326</v>
      </c>
      <c r="L268" s="150" t="s">
        <v>327</v>
      </c>
    </row>
    <row r="269" spans="1:12" ht="20" customHeight="1">
      <c r="A269" s="139">
        <f t="shared" si="73"/>
        <v>8</v>
      </c>
      <c r="B269" s="134" t="s">
        <v>163</v>
      </c>
      <c r="C269" s="149" t="s">
        <v>322</v>
      </c>
      <c r="D269" s="148"/>
      <c r="E269" s="148"/>
      <c r="F269" s="148"/>
      <c r="G269" s="132" t="s">
        <v>323</v>
      </c>
      <c r="H269" s="132" t="s">
        <v>323</v>
      </c>
      <c r="I269" s="132" t="s">
        <v>323</v>
      </c>
      <c r="J269" s="148"/>
      <c r="K269" s="149" t="s">
        <v>326</v>
      </c>
      <c r="L269" s="150" t="s">
        <v>327</v>
      </c>
    </row>
    <row r="270" spans="1:12" ht="20" customHeight="1">
      <c r="A270" s="139">
        <f t="shared" si="73"/>
        <v>9</v>
      </c>
      <c r="B270" s="134" t="s">
        <v>0</v>
      </c>
      <c r="C270" s="149" t="s">
        <v>322</v>
      </c>
      <c r="D270" s="148"/>
      <c r="E270" s="148"/>
      <c r="F270" s="148"/>
      <c r="G270" s="132" t="s">
        <v>323</v>
      </c>
      <c r="H270" s="132" t="s">
        <v>323</v>
      </c>
      <c r="I270" s="132" t="s">
        <v>323</v>
      </c>
      <c r="J270" s="148"/>
      <c r="K270" s="149" t="s">
        <v>326</v>
      </c>
      <c r="L270" s="150" t="s">
        <v>327</v>
      </c>
    </row>
    <row r="271" spans="1:12" ht="20" customHeight="1">
      <c r="A271" s="139">
        <f t="shared" si="73"/>
        <v>10</v>
      </c>
      <c r="B271" s="134" t="s">
        <v>2</v>
      </c>
      <c r="C271" s="149" t="s">
        <v>322</v>
      </c>
      <c r="D271" s="148"/>
      <c r="E271" s="148"/>
      <c r="F271" s="148"/>
      <c r="G271" s="132" t="s">
        <v>323</v>
      </c>
      <c r="H271" s="132" t="s">
        <v>323</v>
      </c>
      <c r="I271" s="132" t="s">
        <v>323</v>
      </c>
      <c r="J271" s="148"/>
      <c r="K271" s="149" t="s">
        <v>326</v>
      </c>
      <c r="L271" s="150" t="s">
        <v>327</v>
      </c>
    </row>
    <row r="272" spans="1:12" ht="20" customHeight="1">
      <c r="A272" s="139">
        <f t="shared" si="73"/>
        <v>11</v>
      </c>
      <c r="B272" s="134" t="s">
        <v>3</v>
      </c>
      <c r="C272" s="149" t="s">
        <v>322</v>
      </c>
      <c r="D272" s="148"/>
      <c r="E272" s="148"/>
      <c r="F272" s="148"/>
      <c r="G272" s="132" t="s">
        <v>323</v>
      </c>
      <c r="H272" s="132" t="s">
        <v>323</v>
      </c>
      <c r="I272" s="132" t="s">
        <v>323</v>
      </c>
      <c r="J272" s="148"/>
      <c r="K272" s="149" t="s">
        <v>326</v>
      </c>
      <c r="L272" s="150" t="s">
        <v>327</v>
      </c>
    </row>
    <row r="273" spans="1:12" ht="20" customHeight="1">
      <c r="A273" s="139">
        <f t="shared" si="73"/>
        <v>12</v>
      </c>
      <c r="B273" s="134" t="s">
        <v>41</v>
      </c>
      <c r="C273" s="149" t="s">
        <v>322</v>
      </c>
      <c r="D273" s="148"/>
      <c r="E273" s="148"/>
      <c r="F273" s="148"/>
      <c r="G273" s="132" t="s">
        <v>323</v>
      </c>
      <c r="H273" s="132" t="s">
        <v>323</v>
      </c>
      <c r="I273" s="132" t="s">
        <v>323</v>
      </c>
      <c r="J273" s="148"/>
      <c r="K273" s="149" t="s">
        <v>326</v>
      </c>
      <c r="L273" s="150" t="s">
        <v>327</v>
      </c>
    </row>
    <row r="274" spans="1:12" ht="20" customHeight="1">
      <c r="A274" s="139">
        <f t="shared" si="73"/>
        <v>13</v>
      </c>
      <c r="B274" s="132" t="s">
        <v>16</v>
      </c>
      <c r="C274" s="149" t="s">
        <v>322</v>
      </c>
      <c r="D274" s="148"/>
      <c r="E274" s="148"/>
      <c r="F274" s="148"/>
      <c r="G274" s="132" t="s">
        <v>323</v>
      </c>
      <c r="H274" s="132" t="s">
        <v>323</v>
      </c>
      <c r="I274" s="132" t="s">
        <v>323</v>
      </c>
      <c r="J274" s="148"/>
      <c r="K274" s="149" t="s">
        <v>326</v>
      </c>
      <c r="L274" s="150" t="s">
        <v>327</v>
      </c>
    </row>
    <row r="275" spans="1:12" ht="20" customHeight="1">
      <c r="A275" s="139">
        <f t="shared" si="73"/>
        <v>14</v>
      </c>
      <c r="B275" s="132" t="s">
        <v>12</v>
      </c>
      <c r="C275" s="149" t="s">
        <v>322</v>
      </c>
      <c r="D275" s="148"/>
      <c r="E275" s="148"/>
      <c r="F275" s="148"/>
      <c r="G275" s="132" t="s">
        <v>323</v>
      </c>
      <c r="H275" s="132" t="s">
        <v>323</v>
      </c>
      <c r="I275" s="132" t="s">
        <v>323</v>
      </c>
      <c r="J275" s="148"/>
      <c r="K275" s="149" t="s">
        <v>326</v>
      </c>
      <c r="L275" s="150" t="s">
        <v>327</v>
      </c>
    </row>
    <row r="276" spans="1:12" ht="20" customHeight="1">
      <c r="A276" s="139">
        <f t="shared" si="73"/>
        <v>15</v>
      </c>
      <c r="B276" s="132" t="s">
        <v>13</v>
      </c>
      <c r="C276" s="149" t="s">
        <v>322</v>
      </c>
      <c r="D276" s="148"/>
      <c r="E276" s="148"/>
      <c r="F276" s="148"/>
      <c r="G276" s="132" t="s">
        <v>323</v>
      </c>
      <c r="H276" s="132" t="s">
        <v>323</v>
      </c>
      <c r="I276" s="132" t="s">
        <v>323</v>
      </c>
      <c r="J276" s="148"/>
      <c r="K276" s="149" t="s">
        <v>326</v>
      </c>
      <c r="L276" s="150" t="s">
        <v>327</v>
      </c>
    </row>
    <row r="277" spans="1:12" ht="20" customHeight="1">
      <c r="A277" s="139">
        <f t="shared" si="73"/>
        <v>16</v>
      </c>
      <c r="B277" s="134" t="s">
        <v>172</v>
      </c>
      <c r="C277" s="149" t="s">
        <v>322</v>
      </c>
      <c r="D277" s="148"/>
      <c r="E277" s="148"/>
      <c r="F277" s="148"/>
      <c r="G277" s="148"/>
      <c r="H277" s="148"/>
      <c r="I277" s="132" t="s">
        <v>323</v>
      </c>
      <c r="J277" s="148"/>
      <c r="K277" s="149" t="s">
        <v>326</v>
      </c>
      <c r="L277" s="150" t="s">
        <v>327</v>
      </c>
    </row>
    <row r="278" spans="1:12" ht="20" customHeight="1">
      <c r="A278" s="139">
        <f t="shared" si="73"/>
        <v>17</v>
      </c>
      <c r="B278" s="134" t="s">
        <v>174</v>
      </c>
      <c r="C278" s="149" t="s">
        <v>322</v>
      </c>
      <c r="D278" s="148"/>
      <c r="E278" s="148"/>
      <c r="F278" s="148"/>
      <c r="G278" s="148"/>
      <c r="H278" s="148"/>
      <c r="I278" s="132" t="s">
        <v>323</v>
      </c>
      <c r="J278" s="148"/>
      <c r="K278" s="149" t="s">
        <v>326</v>
      </c>
      <c r="L278" s="150" t="s">
        <v>327</v>
      </c>
    </row>
    <row r="279" spans="1:12" ht="20" customHeight="1">
      <c r="A279" s="139">
        <f t="shared" si="73"/>
        <v>18</v>
      </c>
      <c r="B279" s="134" t="s">
        <v>176</v>
      </c>
      <c r="C279" s="149" t="s">
        <v>322</v>
      </c>
      <c r="D279" s="148"/>
      <c r="E279" s="148"/>
      <c r="F279" s="148"/>
      <c r="G279" s="148"/>
      <c r="H279" s="148"/>
      <c r="I279" s="132" t="s">
        <v>323</v>
      </c>
      <c r="J279" s="148"/>
      <c r="K279" s="149" t="s">
        <v>326</v>
      </c>
      <c r="L279" s="150" t="s">
        <v>327</v>
      </c>
    </row>
    <row r="280" spans="1:12" ht="20" customHeight="1">
      <c r="A280" s="139">
        <f t="shared" si="73"/>
        <v>19</v>
      </c>
      <c r="B280" s="134" t="s">
        <v>228</v>
      </c>
      <c r="C280" s="149" t="s">
        <v>322</v>
      </c>
      <c r="D280" s="148"/>
      <c r="E280" s="148"/>
      <c r="F280" s="148"/>
      <c r="G280" s="148"/>
      <c r="H280" s="148"/>
      <c r="I280" s="132" t="s">
        <v>323</v>
      </c>
      <c r="J280" s="148"/>
      <c r="K280" s="149" t="s">
        <v>326</v>
      </c>
      <c r="L280" s="150" t="s">
        <v>327</v>
      </c>
    </row>
    <row r="281" spans="1:12" ht="20" customHeight="1">
      <c r="A281" s="139">
        <f t="shared" si="73"/>
        <v>20</v>
      </c>
      <c r="B281" s="134" t="s">
        <v>555</v>
      </c>
      <c r="C281" s="149" t="s">
        <v>322</v>
      </c>
      <c r="D281" s="133"/>
      <c r="E281" s="133"/>
      <c r="F281" s="133"/>
      <c r="G281" s="133"/>
      <c r="H281" s="133"/>
      <c r="I281" s="132" t="s">
        <v>323</v>
      </c>
      <c r="J281" s="148"/>
      <c r="K281" s="149" t="s">
        <v>326</v>
      </c>
      <c r="L281" s="150" t="s">
        <v>327</v>
      </c>
    </row>
    <row r="282" spans="1:12" ht="20" customHeight="1">
      <c r="A282" s="139">
        <f t="shared" si="73"/>
        <v>21</v>
      </c>
      <c r="B282" s="79" t="s">
        <v>540</v>
      </c>
      <c r="C282" s="149" t="s">
        <v>322</v>
      </c>
      <c r="D282" s="133"/>
      <c r="E282" s="133"/>
      <c r="F282" s="133"/>
      <c r="G282" s="133"/>
      <c r="H282" s="133"/>
      <c r="I282" s="132" t="s">
        <v>323</v>
      </c>
      <c r="J282" s="148"/>
      <c r="K282" s="149" t="s">
        <v>326</v>
      </c>
      <c r="L282" s="150" t="s">
        <v>327</v>
      </c>
    </row>
    <row r="283" spans="1:12" ht="20" customHeight="1">
      <c r="A283" s="139">
        <f t="shared" si="73"/>
        <v>22</v>
      </c>
      <c r="B283" s="134" t="s">
        <v>179</v>
      </c>
      <c r="C283" s="149" t="s">
        <v>322</v>
      </c>
      <c r="D283" s="148"/>
      <c r="E283" s="148"/>
      <c r="F283" s="148"/>
      <c r="G283" s="148"/>
      <c r="H283" s="148"/>
      <c r="I283" s="132" t="s">
        <v>323</v>
      </c>
      <c r="J283" s="148"/>
      <c r="K283" s="149" t="s">
        <v>326</v>
      </c>
      <c r="L283" s="150" t="s">
        <v>327</v>
      </c>
    </row>
    <row r="284" spans="1:12" ht="20" customHeight="1">
      <c r="A284" s="139">
        <f t="shared" si="73"/>
        <v>23</v>
      </c>
      <c r="B284" s="134" t="s">
        <v>181</v>
      </c>
      <c r="C284" s="149" t="s">
        <v>322</v>
      </c>
      <c r="D284" s="148"/>
      <c r="E284" s="148"/>
      <c r="F284" s="148"/>
      <c r="G284" s="148"/>
      <c r="H284" s="148"/>
      <c r="I284" s="132" t="s">
        <v>323</v>
      </c>
      <c r="J284" s="148"/>
      <c r="K284" s="149" t="s">
        <v>326</v>
      </c>
      <c r="L284" s="150" t="s">
        <v>327</v>
      </c>
    </row>
    <row r="285" spans="1:12" ht="20" customHeight="1">
      <c r="A285" s="139">
        <f t="shared" si="73"/>
        <v>24</v>
      </c>
      <c r="B285" s="134" t="s">
        <v>183</v>
      </c>
      <c r="C285" s="149" t="s">
        <v>322</v>
      </c>
      <c r="D285" s="148"/>
      <c r="E285" s="148"/>
      <c r="F285" s="148"/>
      <c r="G285" s="148"/>
      <c r="H285" s="148"/>
      <c r="I285" s="132" t="s">
        <v>323</v>
      </c>
      <c r="J285" s="148"/>
      <c r="K285" s="149" t="s">
        <v>326</v>
      </c>
      <c r="L285" s="150" t="s">
        <v>327</v>
      </c>
    </row>
    <row r="286" spans="1:12" ht="20" customHeight="1">
      <c r="A286" s="139">
        <f t="shared" si="73"/>
        <v>25</v>
      </c>
      <c r="B286" s="134" t="s">
        <v>185</v>
      </c>
      <c r="C286" s="149" t="s">
        <v>322</v>
      </c>
      <c r="D286" s="148"/>
      <c r="E286" s="148"/>
      <c r="F286" s="148"/>
      <c r="G286" s="148"/>
      <c r="H286" s="148"/>
      <c r="I286" s="132" t="s">
        <v>323</v>
      </c>
      <c r="J286" s="148"/>
      <c r="K286" s="149" t="s">
        <v>326</v>
      </c>
      <c r="L286" s="150" t="s">
        <v>327</v>
      </c>
    </row>
    <row r="287" spans="1:12" ht="20" customHeight="1">
      <c r="A287" s="139">
        <f t="shared" si="73"/>
        <v>26</v>
      </c>
      <c r="B287" s="134" t="s">
        <v>187</v>
      </c>
      <c r="C287" s="149" t="s">
        <v>322</v>
      </c>
      <c r="D287" s="148"/>
      <c r="E287" s="148"/>
      <c r="F287" s="148"/>
      <c r="G287" s="148"/>
      <c r="H287" s="148"/>
      <c r="I287" s="132" t="s">
        <v>323</v>
      </c>
      <c r="J287" s="148"/>
      <c r="K287" s="149" t="s">
        <v>326</v>
      </c>
      <c r="L287" s="150" t="s">
        <v>327</v>
      </c>
    </row>
    <row r="288" spans="1:12" ht="20" customHeight="1">
      <c r="A288" s="139">
        <f t="shared" si="73"/>
        <v>27</v>
      </c>
      <c r="B288" s="134" t="s">
        <v>189</v>
      </c>
      <c r="C288" s="149" t="s">
        <v>322</v>
      </c>
      <c r="D288" s="148"/>
      <c r="E288" s="148"/>
      <c r="F288" s="148"/>
      <c r="G288" s="148"/>
      <c r="H288" s="148"/>
      <c r="I288" s="132" t="s">
        <v>323</v>
      </c>
      <c r="J288" s="148"/>
      <c r="K288" s="149" t="s">
        <v>326</v>
      </c>
      <c r="L288" s="150" t="s">
        <v>327</v>
      </c>
    </row>
    <row r="289" spans="1:12" ht="20" customHeight="1">
      <c r="A289" s="139">
        <f t="shared" si="73"/>
        <v>28</v>
      </c>
      <c r="B289" s="132" t="s">
        <v>19</v>
      </c>
      <c r="C289" s="149" t="s">
        <v>322</v>
      </c>
      <c r="D289" s="148"/>
      <c r="E289" s="148"/>
      <c r="F289" s="148"/>
      <c r="G289" s="148"/>
      <c r="H289" s="148"/>
      <c r="I289" s="132" t="s">
        <v>323</v>
      </c>
      <c r="J289" s="148"/>
      <c r="K289" s="149" t="s">
        <v>326</v>
      </c>
      <c r="L289" s="150" t="s">
        <v>327</v>
      </c>
    </row>
    <row r="290" spans="1:12" ht="20" customHeight="1">
      <c r="A290" s="139">
        <f t="shared" si="73"/>
        <v>29</v>
      </c>
      <c r="B290" s="132" t="s">
        <v>75</v>
      </c>
      <c r="C290" s="149" t="s">
        <v>322</v>
      </c>
      <c r="D290" s="148"/>
      <c r="E290" s="148"/>
      <c r="F290" s="148"/>
      <c r="G290" s="148"/>
      <c r="H290" s="148"/>
      <c r="I290" s="132" t="s">
        <v>323</v>
      </c>
      <c r="J290" s="148"/>
      <c r="K290" s="149" t="s">
        <v>326</v>
      </c>
      <c r="L290" s="150" t="s">
        <v>327</v>
      </c>
    </row>
    <row r="291" spans="1:12" ht="20" customHeight="1">
      <c r="A291" s="139">
        <f t="shared" si="73"/>
        <v>30</v>
      </c>
      <c r="B291" s="132" t="s">
        <v>76</v>
      </c>
      <c r="C291" s="149" t="s">
        <v>322</v>
      </c>
      <c r="D291" s="148"/>
      <c r="E291" s="148"/>
      <c r="F291" s="148"/>
      <c r="G291" s="148"/>
      <c r="H291" s="148"/>
      <c r="I291" s="132" t="s">
        <v>323</v>
      </c>
      <c r="J291" s="148"/>
      <c r="K291" s="149" t="s">
        <v>326</v>
      </c>
      <c r="L291" s="150" t="s">
        <v>327</v>
      </c>
    </row>
    <row r="292" spans="1:12" ht="20" customHeight="1">
      <c r="A292" s="139">
        <f t="shared" si="73"/>
        <v>31</v>
      </c>
      <c r="B292" s="132" t="s">
        <v>452</v>
      </c>
      <c r="C292" s="149" t="s">
        <v>322</v>
      </c>
      <c r="D292" s="148"/>
      <c r="E292" s="148"/>
      <c r="F292" s="148"/>
      <c r="G292" s="148"/>
      <c r="H292" s="132" t="s">
        <v>323</v>
      </c>
      <c r="I292" s="132" t="s">
        <v>323</v>
      </c>
      <c r="J292" s="148"/>
      <c r="K292" s="149" t="s">
        <v>326</v>
      </c>
      <c r="L292" s="150" t="s">
        <v>327</v>
      </c>
    </row>
    <row r="293" spans="1:12" ht="20" customHeight="1">
      <c r="A293" s="139">
        <f t="shared" si="73"/>
        <v>32</v>
      </c>
      <c r="B293" s="132" t="s">
        <v>69</v>
      </c>
      <c r="C293" s="149" t="s">
        <v>322</v>
      </c>
      <c r="D293" s="133"/>
      <c r="E293" s="133"/>
      <c r="F293" s="133"/>
      <c r="G293" s="133"/>
      <c r="H293" s="132" t="s">
        <v>323</v>
      </c>
      <c r="I293" s="132" t="s">
        <v>323</v>
      </c>
      <c r="J293" s="148"/>
      <c r="K293" s="149" t="s">
        <v>326</v>
      </c>
      <c r="L293" s="150" t="s">
        <v>327</v>
      </c>
    </row>
    <row r="294" spans="1:12" ht="20" customHeight="1">
      <c r="A294" s="139">
        <f t="shared" si="73"/>
        <v>33</v>
      </c>
      <c r="B294" s="132" t="s">
        <v>554</v>
      </c>
      <c r="C294" s="149" t="s">
        <v>322</v>
      </c>
      <c r="D294" s="133"/>
      <c r="E294" s="133"/>
      <c r="F294" s="133"/>
      <c r="G294" s="133"/>
      <c r="H294" s="132" t="s">
        <v>323</v>
      </c>
      <c r="I294" s="132" t="s">
        <v>323</v>
      </c>
      <c r="J294" s="148"/>
      <c r="K294" s="149" t="s">
        <v>326</v>
      </c>
      <c r="L294" s="150" t="s">
        <v>327</v>
      </c>
    </row>
    <row r="295" spans="1:12" ht="20" customHeight="1">
      <c r="A295" s="139">
        <f t="shared" si="73"/>
        <v>34</v>
      </c>
      <c r="B295" s="132" t="s">
        <v>195</v>
      </c>
      <c r="C295" s="149" t="s">
        <v>322</v>
      </c>
      <c r="D295" s="148"/>
      <c r="E295" s="148"/>
      <c r="F295" s="148"/>
      <c r="G295" s="148"/>
      <c r="H295" s="148"/>
      <c r="I295" s="132" t="s">
        <v>323</v>
      </c>
      <c r="J295" s="148"/>
      <c r="K295" s="149" t="s">
        <v>326</v>
      </c>
      <c r="L295" s="150" t="s">
        <v>327</v>
      </c>
    </row>
    <row r="296" spans="1:12" ht="20" customHeight="1">
      <c r="A296" s="139">
        <f t="shared" si="73"/>
        <v>35</v>
      </c>
      <c r="B296" s="132" t="s">
        <v>197</v>
      </c>
      <c r="C296" s="149" t="s">
        <v>322</v>
      </c>
      <c r="D296" s="148"/>
      <c r="E296" s="148"/>
      <c r="F296" s="148"/>
      <c r="G296" s="148"/>
      <c r="H296" s="148"/>
      <c r="I296" s="132" t="s">
        <v>323</v>
      </c>
      <c r="J296" s="148"/>
      <c r="K296" s="149" t="s">
        <v>326</v>
      </c>
      <c r="L296" s="150" t="s">
        <v>327</v>
      </c>
    </row>
    <row r="297" spans="1:12" ht="20" customHeight="1">
      <c r="A297" s="139">
        <f t="shared" si="73"/>
        <v>36</v>
      </c>
      <c r="B297" s="132" t="s">
        <v>199</v>
      </c>
      <c r="C297" s="149" t="s">
        <v>322</v>
      </c>
      <c r="D297" s="148"/>
      <c r="E297" s="148"/>
      <c r="F297" s="148"/>
      <c r="G297" s="148"/>
      <c r="H297" s="132" t="s">
        <v>323</v>
      </c>
      <c r="I297" s="132" t="s">
        <v>323</v>
      </c>
      <c r="J297" s="148"/>
      <c r="K297" s="149" t="s">
        <v>326</v>
      </c>
      <c r="L297" s="150" t="s">
        <v>327</v>
      </c>
    </row>
    <row r="298" spans="1:12" ht="20" customHeight="1">
      <c r="A298" s="139">
        <f t="shared" si="73"/>
        <v>37</v>
      </c>
      <c r="B298" s="132" t="s">
        <v>6</v>
      </c>
      <c r="C298" s="149" t="s">
        <v>322</v>
      </c>
      <c r="D298" s="148"/>
      <c r="E298" s="148"/>
      <c r="F298" s="148"/>
      <c r="G298" s="148"/>
      <c r="H298" s="148"/>
      <c r="I298" s="132" t="s">
        <v>323</v>
      </c>
      <c r="J298" s="148"/>
      <c r="K298" s="149" t="s">
        <v>326</v>
      </c>
      <c r="L298" s="150" t="s">
        <v>327</v>
      </c>
    </row>
    <row r="299" spans="1:12" ht="20" customHeight="1">
      <c r="A299" s="139">
        <f t="shared" si="73"/>
        <v>38</v>
      </c>
      <c r="B299" s="132" t="s">
        <v>20</v>
      </c>
      <c r="C299" s="149" t="s">
        <v>322</v>
      </c>
      <c r="D299" s="148"/>
      <c r="E299" s="148"/>
      <c r="F299" s="148"/>
      <c r="G299" s="148"/>
      <c r="H299" s="148"/>
      <c r="I299" s="132" t="s">
        <v>323</v>
      </c>
      <c r="J299" s="148"/>
      <c r="K299" s="149" t="s">
        <v>326</v>
      </c>
      <c r="L299" s="150" t="s">
        <v>327</v>
      </c>
    </row>
    <row r="300" spans="1:12" ht="20" customHeight="1">
      <c r="A300" s="139">
        <f t="shared" si="73"/>
        <v>39</v>
      </c>
      <c r="B300" s="132" t="s">
        <v>7</v>
      </c>
      <c r="C300" s="149" t="s">
        <v>322</v>
      </c>
      <c r="D300" s="148"/>
      <c r="E300" s="148"/>
      <c r="F300" s="148"/>
      <c r="G300" s="148"/>
      <c r="H300" s="132" t="s">
        <v>323</v>
      </c>
      <c r="I300" s="132" t="s">
        <v>323</v>
      </c>
      <c r="J300" s="148"/>
      <c r="K300" s="149" t="s">
        <v>326</v>
      </c>
      <c r="L300" s="150" t="s">
        <v>327</v>
      </c>
    </row>
    <row r="301" spans="1:12" ht="20" customHeight="1">
      <c r="A301" s="139">
        <f t="shared" si="73"/>
        <v>40</v>
      </c>
      <c r="B301" s="134" t="s">
        <v>204</v>
      </c>
      <c r="C301" s="149" t="s">
        <v>322</v>
      </c>
      <c r="D301" s="148"/>
      <c r="E301" s="148"/>
      <c r="F301" s="148"/>
      <c r="G301" s="148"/>
      <c r="H301" s="148"/>
      <c r="I301" s="132" t="s">
        <v>323</v>
      </c>
      <c r="J301" s="148"/>
      <c r="K301" s="149" t="s">
        <v>326</v>
      </c>
      <c r="L301" s="150" t="s">
        <v>327</v>
      </c>
    </row>
    <row r="302" spans="1:12" ht="20" customHeight="1">
      <c r="A302" s="139">
        <f t="shared" si="73"/>
        <v>41</v>
      </c>
      <c r="B302" s="132" t="s">
        <v>206</v>
      </c>
      <c r="C302" s="149" t="s">
        <v>322</v>
      </c>
      <c r="D302" s="148"/>
      <c r="E302" s="148"/>
      <c r="F302" s="148"/>
      <c r="G302" s="148"/>
      <c r="H302" s="148"/>
      <c r="I302" s="132" t="s">
        <v>323</v>
      </c>
      <c r="J302" s="148"/>
      <c r="K302" s="149" t="s">
        <v>326</v>
      </c>
      <c r="L302" s="150" t="s">
        <v>327</v>
      </c>
    </row>
    <row r="303" spans="1:12" ht="20" customHeight="1">
      <c r="A303" s="139">
        <f t="shared" si="73"/>
        <v>42</v>
      </c>
      <c r="B303" s="132" t="s">
        <v>208</v>
      </c>
      <c r="C303" s="149" t="s">
        <v>322</v>
      </c>
      <c r="D303" s="148"/>
      <c r="E303" s="148"/>
      <c r="F303" s="148"/>
      <c r="G303" s="148"/>
      <c r="H303" s="148"/>
      <c r="I303" s="132" t="s">
        <v>323</v>
      </c>
      <c r="J303" s="148"/>
      <c r="K303" s="149" t="s">
        <v>326</v>
      </c>
      <c r="L303" s="150" t="s">
        <v>327</v>
      </c>
    </row>
    <row r="304" spans="1:12" ht="20" customHeight="1">
      <c r="A304" s="139">
        <f t="shared" si="73"/>
        <v>43</v>
      </c>
      <c r="B304" s="132" t="s">
        <v>210</v>
      </c>
      <c r="C304" s="149" t="s">
        <v>322</v>
      </c>
      <c r="D304" s="148"/>
      <c r="E304" s="148"/>
      <c r="F304" s="148"/>
      <c r="G304" s="148"/>
      <c r="H304" s="148"/>
      <c r="I304" s="132" t="s">
        <v>323</v>
      </c>
      <c r="J304" s="148"/>
      <c r="K304" s="149" t="s">
        <v>326</v>
      </c>
      <c r="L304" s="150" t="s">
        <v>327</v>
      </c>
    </row>
    <row r="305" spans="1:12" ht="20" customHeight="1">
      <c r="A305" s="139">
        <f t="shared" si="73"/>
        <v>44</v>
      </c>
      <c r="B305" s="132" t="s">
        <v>212</v>
      </c>
      <c r="C305" s="149" t="s">
        <v>322</v>
      </c>
      <c r="D305" s="148"/>
      <c r="E305" s="148"/>
      <c r="F305" s="148"/>
      <c r="G305" s="148"/>
      <c r="H305" s="148"/>
      <c r="I305" s="132" t="s">
        <v>323</v>
      </c>
      <c r="J305" s="148"/>
      <c r="K305" s="149" t="s">
        <v>326</v>
      </c>
      <c r="L305" s="150" t="s">
        <v>327</v>
      </c>
    </row>
    <row r="306" spans="1:12" ht="20" customHeight="1">
      <c r="A306" s="139">
        <f t="shared" si="73"/>
        <v>45</v>
      </c>
      <c r="B306" s="132" t="s">
        <v>214</v>
      </c>
      <c r="C306" s="149" t="s">
        <v>322</v>
      </c>
      <c r="D306" s="148"/>
      <c r="E306" s="148"/>
      <c r="F306" s="148"/>
      <c r="G306" s="148"/>
      <c r="H306" s="148"/>
      <c r="I306" s="132" t="s">
        <v>323</v>
      </c>
      <c r="J306" s="148"/>
      <c r="K306" s="149" t="s">
        <v>326</v>
      </c>
      <c r="L306" s="150" t="s">
        <v>327</v>
      </c>
    </row>
    <row r="307" spans="1:12" ht="20" customHeight="1">
      <c r="A307" s="139">
        <f t="shared" si="73"/>
        <v>46</v>
      </c>
      <c r="B307" s="132" t="s">
        <v>18</v>
      </c>
      <c r="C307" s="149" t="s">
        <v>322</v>
      </c>
      <c r="D307" s="148"/>
      <c r="E307" s="148"/>
      <c r="F307" s="148"/>
      <c r="G307" s="148"/>
      <c r="H307" s="148"/>
      <c r="I307" s="132" t="s">
        <v>323</v>
      </c>
      <c r="J307" s="148"/>
      <c r="K307" s="149" t="s">
        <v>326</v>
      </c>
      <c r="L307" s="150" t="s">
        <v>327</v>
      </c>
    </row>
    <row r="308" spans="1:12" ht="20" customHeight="1">
      <c r="A308" s="139">
        <f t="shared" si="73"/>
        <v>47</v>
      </c>
      <c r="B308" s="132" t="s">
        <v>553</v>
      </c>
      <c r="C308" s="149" t="s">
        <v>322</v>
      </c>
      <c r="D308" s="148"/>
      <c r="E308" s="148"/>
      <c r="F308" s="148"/>
      <c r="G308" s="148"/>
      <c r="H308" s="148"/>
      <c r="I308" s="132" t="s">
        <v>323</v>
      </c>
      <c r="J308" s="149"/>
      <c r="K308" s="149" t="s">
        <v>326</v>
      </c>
      <c r="L308" s="150" t="s">
        <v>327</v>
      </c>
    </row>
    <row r="309" spans="1:12" ht="20" customHeight="1">
      <c r="A309" s="139">
        <f t="shared" si="73"/>
        <v>48</v>
      </c>
      <c r="B309" s="132" t="s">
        <v>217</v>
      </c>
      <c r="C309" s="149" t="s">
        <v>322</v>
      </c>
      <c r="D309" s="148"/>
      <c r="E309" s="148"/>
      <c r="F309" s="148"/>
      <c r="G309" s="148"/>
      <c r="H309" s="148"/>
      <c r="I309" s="132" t="s">
        <v>323</v>
      </c>
      <c r="J309" s="149"/>
      <c r="K309" s="149" t="s">
        <v>326</v>
      </c>
      <c r="L309" s="150" t="s">
        <v>327</v>
      </c>
    </row>
    <row r="310" spans="1:12" ht="20" customHeight="1">
      <c r="A310" s="139">
        <f t="shared" si="73"/>
        <v>49</v>
      </c>
      <c r="B310" s="132" t="s">
        <v>270</v>
      </c>
      <c r="C310" s="149" t="s">
        <v>322</v>
      </c>
      <c r="D310" s="148"/>
      <c r="E310" s="148"/>
      <c r="F310" s="148"/>
      <c r="G310" s="132" t="s">
        <v>323</v>
      </c>
      <c r="H310" s="132" t="s">
        <v>323</v>
      </c>
      <c r="I310" s="132" t="s">
        <v>323</v>
      </c>
      <c r="J310" s="148"/>
      <c r="K310" s="149" t="s">
        <v>326</v>
      </c>
      <c r="L310" s="150" t="s">
        <v>327</v>
      </c>
    </row>
    <row r="311" spans="1:12" ht="20" customHeight="1">
      <c r="A311" s="139">
        <f t="shared" si="73"/>
        <v>50</v>
      </c>
      <c r="B311" s="132" t="s">
        <v>272</v>
      </c>
      <c r="C311" s="149" t="s">
        <v>322</v>
      </c>
      <c r="D311" s="148"/>
      <c r="E311" s="148"/>
      <c r="F311" s="148"/>
      <c r="G311" s="132" t="s">
        <v>323</v>
      </c>
      <c r="H311" s="132" t="s">
        <v>323</v>
      </c>
      <c r="I311" s="132" t="s">
        <v>323</v>
      </c>
      <c r="J311" s="148"/>
      <c r="K311" s="149" t="s">
        <v>326</v>
      </c>
      <c r="L311" s="150" t="s">
        <v>327</v>
      </c>
    </row>
    <row r="312" spans="1:12" ht="20" customHeight="1">
      <c r="A312" s="139">
        <f t="shared" si="73"/>
        <v>51</v>
      </c>
      <c r="B312" s="132" t="s">
        <v>288</v>
      </c>
      <c r="C312" s="149" t="s">
        <v>322</v>
      </c>
      <c r="D312" s="148"/>
      <c r="E312" s="148"/>
      <c r="F312" s="148"/>
      <c r="G312" s="132" t="s">
        <v>323</v>
      </c>
      <c r="H312" s="132" t="s">
        <v>323</v>
      </c>
      <c r="I312" s="132" t="s">
        <v>323</v>
      </c>
      <c r="J312" s="148"/>
      <c r="K312" s="149" t="s">
        <v>326</v>
      </c>
      <c r="L312" s="150" t="s">
        <v>327</v>
      </c>
    </row>
    <row r="313" spans="1:12" ht="20" customHeight="1">
      <c r="A313" s="139">
        <f t="shared" si="73"/>
        <v>52</v>
      </c>
      <c r="B313" s="132" t="s">
        <v>17</v>
      </c>
      <c r="C313" s="149" t="s">
        <v>322</v>
      </c>
      <c r="D313" s="148"/>
      <c r="E313" s="148"/>
      <c r="F313" s="148"/>
      <c r="G313" s="132" t="s">
        <v>323</v>
      </c>
      <c r="H313" s="132" t="s">
        <v>323</v>
      </c>
      <c r="I313" s="132" t="s">
        <v>323</v>
      </c>
      <c r="J313" s="148"/>
      <c r="K313" s="149" t="s">
        <v>326</v>
      </c>
      <c r="L313" s="150" t="s">
        <v>327</v>
      </c>
    </row>
    <row r="314" spans="1:12" ht="20" customHeight="1" thickBot="1">
      <c r="A314" s="139">
        <f t="shared" si="73"/>
        <v>53</v>
      </c>
      <c r="B314" s="141" t="s">
        <v>40</v>
      </c>
      <c r="C314" s="151" t="s">
        <v>322</v>
      </c>
      <c r="D314" s="152"/>
      <c r="E314" s="152"/>
      <c r="F314" s="152"/>
      <c r="G314" s="141" t="s">
        <v>323</v>
      </c>
      <c r="H314" s="141" t="s">
        <v>323</v>
      </c>
      <c r="I314" s="141" t="s">
        <v>323</v>
      </c>
      <c r="J314" s="152"/>
      <c r="K314" s="151" t="s">
        <v>326</v>
      </c>
      <c r="L314" s="153" t="s">
        <v>327</v>
      </c>
    </row>
    <row r="322" spans="1:11" ht="44" customHeight="1" thickBot="1">
      <c r="C322" s="390" t="s">
        <v>388</v>
      </c>
      <c r="D322" s="390"/>
      <c r="E322" s="390"/>
      <c r="F322" s="390"/>
      <c r="G322" s="198"/>
      <c r="H322" s="198"/>
      <c r="I322" s="198"/>
    </row>
    <row r="323" spans="1:11" ht="20" customHeight="1">
      <c r="A323" s="135" t="s">
        <v>147</v>
      </c>
      <c r="B323" s="136" t="s">
        <v>148</v>
      </c>
      <c r="C323" s="137">
        <v>1</v>
      </c>
      <c r="D323" s="137">
        <v>5</v>
      </c>
      <c r="E323" s="137">
        <v>10</v>
      </c>
      <c r="F323" s="137">
        <v>25</v>
      </c>
      <c r="G323" s="137">
        <v>50</v>
      </c>
      <c r="H323" s="137">
        <v>100</v>
      </c>
      <c r="I323" s="137">
        <v>250</v>
      </c>
      <c r="J323" s="137">
        <v>500</v>
      </c>
      <c r="K323" s="138">
        <v>1000</v>
      </c>
    </row>
    <row r="324" spans="1:11" ht="20" customHeight="1">
      <c r="A324" s="139">
        <v>1</v>
      </c>
      <c r="B324" s="132" t="s">
        <v>15</v>
      </c>
      <c r="C324" s="133"/>
      <c r="D324" s="133"/>
      <c r="E324" s="133"/>
      <c r="F324" s="133">
        <v>1</v>
      </c>
      <c r="G324" s="133">
        <v>1</v>
      </c>
      <c r="H324" s="133">
        <v>1</v>
      </c>
      <c r="I324" s="133"/>
      <c r="J324" s="133">
        <v>1</v>
      </c>
      <c r="K324" s="140">
        <v>2</v>
      </c>
    </row>
    <row r="325" spans="1:11" ht="20" customHeight="1">
      <c r="A325" s="139">
        <f t="shared" ref="A325:A376" si="74">+A324+1</f>
        <v>2</v>
      </c>
      <c r="B325" s="134" t="s">
        <v>35</v>
      </c>
      <c r="C325" s="133"/>
      <c r="D325" s="146"/>
      <c r="E325" s="133"/>
      <c r="F325" s="133">
        <v>1</v>
      </c>
      <c r="G325" s="133">
        <v>1</v>
      </c>
      <c r="H325" s="133">
        <v>1</v>
      </c>
      <c r="I325" s="133"/>
      <c r="J325" s="133">
        <v>1</v>
      </c>
      <c r="K325" s="140">
        <v>2</v>
      </c>
    </row>
    <row r="326" spans="1:11" ht="20" customHeight="1">
      <c r="A326" s="139">
        <f t="shared" si="74"/>
        <v>3</v>
      </c>
      <c r="B326" s="134" t="s">
        <v>543</v>
      </c>
      <c r="C326" s="133"/>
      <c r="D326" s="133"/>
      <c r="E326" s="133"/>
      <c r="F326" s="133">
        <v>1</v>
      </c>
      <c r="G326" s="133">
        <v>2</v>
      </c>
      <c r="H326" s="133">
        <v>1</v>
      </c>
      <c r="I326" s="133"/>
      <c r="J326" s="133">
        <v>1</v>
      </c>
      <c r="K326" s="140">
        <v>4</v>
      </c>
    </row>
    <row r="327" spans="1:11" ht="20" customHeight="1">
      <c r="A327" s="139">
        <f t="shared" si="74"/>
        <v>4</v>
      </c>
      <c r="B327" s="134" t="s">
        <v>1</v>
      </c>
      <c r="C327" s="133"/>
      <c r="D327" s="133"/>
      <c r="E327" s="133"/>
      <c r="F327" s="133">
        <v>1</v>
      </c>
      <c r="G327" s="133">
        <v>1</v>
      </c>
      <c r="H327" s="133">
        <v>1</v>
      </c>
      <c r="I327" s="133"/>
      <c r="J327" s="133">
        <v>1</v>
      </c>
      <c r="K327" s="140">
        <v>2</v>
      </c>
    </row>
    <row r="328" spans="1:11" ht="20" customHeight="1">
      <c r="A328" s="139">
        <f t="shared" si="74"/>
        <v>5</v>
      </c>
      <c r="B328" s="134" t="s">
        <v>158</v>
      </c>
      <c r="C328" s="133"/>
      <c r="D328" s="133"/>
      <c r="E328" s="133"/>
      <c r="F328" s="133">
        <v>1</v>
      </c>
      <c r="G328" s="133">
        <v>2</v>
      </c>
      <c r="H328" s="133">
        <v>1</v>
      </c>
      <c r="I328" s="133"/>
      <c r="J328" s="133">
        <v>2</v>
      </c>
      <c r="K328" s="140">
        <v>4</v>
      </c>
    </row>
    <row r="329" spans="1:11" ht="20" customHeight="1">
      <c r="A329" s="139">
        <f t="shared" si="74"/>
        <v>6</v>
      </c>
      <c r="B329" s="134" t="s">
        <v>5</v>
      </c>
      <c r="C329" s="133"/>
      <c r="D329" s="133"/>
      <c r="E329" s="133"/>
      <c r="F329" s="133">
        <v>1</v>
      </c>
      <c r="G329" s="133">
        <v>2</v>
      </c>
      <c r="H329" s="133">
        <v>1</v>
      </c>
      <c r="I329" s="133"/>
      <c r="J329" s="133">
        <v>2</v>
      </c>
      <c r="K329" s="140">
        <v>4</v>
      </c>
    </row>
    <row r="330" spans="1:11" ht="20" customHeight="1">
      <c r="A330" s="139">
        <f t="shared" si="74"/>
        <v>7</v>
      </c>
      <c r="B330" s="134" t="s">
        <v>161</v>
      </c>
      <c r="C330" s="133"/>
      <c r="D330" s="133"/>
      <c r="E330" s="133"/>
      <c r="F330" s="133">
        <v>1</v>
      </c>
      <c r="G330" s="133">
        <v>2</v>
      </c>
      <c r="H330" s="133">
        <v>1</v>
      </c>
      <c r="I330" s="133"/>
      <c r="J330" s="133">
        <v>2</v>
      </c>
      <c r="K330" s="140">
        <v>4</v>
      </c>
    </row>
    <row r="331" spans="1:11" ht="20" customHeight="1">
      <c r="A331" s="139">
        <f t="shared" si="74"/>
        <v>8</v>
      </c>
      <c r="B331" s="134" t="s">
        <v>163</v>
      </c>
      <c r="C331" s="133"/>
      <c r="D331" s="133"/>
      <c r="E331" s="133"/>
      <c r="F331" s="133">
        <v>1</v>
      </c>
      <c r="G331" s="133">
        <v>2</v>
      </c>
      <c r="H331" s="133">
        <v>1</v>
      </c>
      <c r="I331" s="133"/>
      <c r="J331" s="133">
        <v>2</v>
      </c>
      <c r="K331" s="140">
        <v>4</v>
      </c>
    </row>
    <row r="332" spans="1:11" ht="20" customHeight="1">
      <c r="A332" s="139">
        <f t="shared" si="74"/>
        <v>9</v>
      </c>
      <c r="B332" s="134" t="s">
        <v>0</v>
      </c>
      <c r="C332" s="133"/>
      <c r="D332" s="133"/>
      <c r="E332" s="133"/>
      <c r="F332" s="133">
        <v>1</v>
      </c>
      <c r="G332" s="133">
        <v>1</v>
      </c>
      <c r="H332" s="133">
        <v>1</v>
      </c>
      <c r="I332" s="133"/>
      <c r="J332" s="133">
        <v>1</v>
      </c>
      <c r="K332" s="140">
        <v>1</v>
      </c>
    </row>
    <row r="333" spans="1:11" ht="20" customHeight="1">
      <c r="A333" s="139">
        <f t="shared" si="74"/>
        <v>10</v>
      </c>
      <c r="B333" s="134" t="s">
        <v>2</v>
      </c>
      <c r="C333" s="133"/>
      <c r="D333" s="133"/>
      <c r="E333" s="133"/>
      <c r="F333" s="133">
        <v>1</v>
      </c>
      <c r="G333" s="133">
        <v>1</v>
      </c>
      <c r="H333" s="133">
        <v>2</v>
      </c>
      <c r="I333" s="133"/>
      <c r="J333" s="133">
        <v>1</v>
      </c>
      <c r="K333" s="140">
        <v>2</v>
      </c>
    </row>
    <row r="334" spans="1:11" ht="20" customHeight="1">
      <c r="A334" s="139">
        <f t="shared" si="74"/>
        <v>11</v>
      </c>
      <c r="B334" s="134" t="s">
        <v>3</v>
      </c>
      <c r="C334" s="133"/>
      <c r="D334" s="133"/>
      <c r="E334" s="133"/>
      <c r="F334" s="133">
        <v>1</v>
      </c>
      <c r="G334" s="133">
        <v>1</v>
      </c>
      <c r="H334" s="133">
        <v>1</v>
      </c>
      <c r="I334" s="133"/>
      <c r="J334" s="133">
        <v>1</v>
      </c>
      <c r="K334" s="140">
        <v>1</v>
      </c>
    </row>
    <row r="335" spans="1:11" ht="20" customHeight="1">
      <c r="A335" s="139">
        <f t="shared" si="74"/>
        <v>12</v>
      </c>
      <c r="B335" s="134" t="s">
        <v>41</v>
      </c>
      <c r="C335" s="133"/>
      <c r="D335" s="133"/>
      <c r="E335" s="133"/>
      <c r="F335" s="133">
        <v>1</v>
      </c>
      <c r="G335" s="133">
        <v>1</v>
      </c>
      <c r="H335" s="133">
        <v>1</v>
      </c>
      <c r="I335" s="133"/>
      <c r="J335" s="133">
        <v>1</v>
      </c>
      <c r="K335" s="140">
        <v>1</v>
      </c>
    </row>
    <row r="336" spans="1:11" ht="20" customHeight="1">
      <c r="A336" s="139">
        <f t="shared" si="74"/>
        <v>13</v>
      </c>
      <c r="B336" s="132" t="s">
        <v>16</v>
      </c>
      <c r="C336" s="133"/>
      <c r="D336" s="133"/>
      <c r="E336" s="133"/>
      <c r="F336" s="133">
        <v>1</v>
      </c>
      <c r="G336" s="133">
        <v>2</v>
      </c>
      <c r="H336" s="133">
        <v>1</v>
      </c>
      <c r="I336" s="133"/>
      <c r="J336" s="133">
        <v>2</v>
      </c>
      <c r="K336" s="140">
        <v>4</v>
      </c>
    </row>
    <row r="337" spans="1:11" ht="20" customHeight="1">
      <c r="A337" s="139">
        <f t="shared" si="74"/>
        <v>14</v>
      </c>
      <c r="B337" s="132" t="s">
        <v>12</v>
      </c>
      <c r="C337" s="133"/>
      <c r="D337" s="133"/>
      <c r="E337" s="133"/>
      <c r="F337" s="133">
        <v>1</v>
      </c>
      <c r="G337" s="133">
        <v>1</v>
      </c>
      <c r="H337" s="133">
        <v>1</v>
      </c>
      <c r="I337" s="133"/>
      <c r="J337" s="133">
        <v>1</v>
      </c>
      <c r="K337" s="140">
        <v>1</v>
      </c>
    </row>
    <row r="338" spans="1:11" ht="20" customHeight="1">
      <c r="A338" s="139">
        <f t="shared" si="74"/>
        <v>15</v>
      </c>
      <c r="B338" s="132" t="s">
        <v>13</v>
      </c>
      <c r="C338" s="133"/>
      <c r="D338" s="133"/>
      <c r="E338" s="133"/>
      <c r="F338" s="133">
        <v>1</v>
      </c>
      <c r="G338" s="133">
        <v>2</v>
      </c>
      <c r="H338" s="133">
        <v>1</v>
      </c>
      <c r="I338" s="133"/>
      <c r="J338" s="133">
        <v>2</v>
      </c>
      <c r="K338" s="140">
        <v>4</v>
      </c>
    </row>
    <row r="339" spans="1:11" ht="20" customHeight="1">
      <c r="A339" s="139">
        <f t="shared" si="74"/>
        <v>16</v>
      </c>
      <c r="B339" s="134" t="s">
        <v>172</v>
      </c>
      <c r="C339" s="133"/>
      <c r="D339" s="133"/>
      <c r="E339" s="133"/>
      <c r="F339" s="133">
        <v>1</v>
      </c>
      <c r="G339" s="133">
        <v>1</v>
      </c>
      <c r="H339" s="133">
        <v>1</v>
      </c>
      <c r="I339" s="133"/>
      <c r="J339" s="133">
        <v>1</v>
      </c>
      <c r="K339" s="140">
        <v>1</v>
      </c>
    </row>
    <row r="340" spans="1:11" ht="20" customHeight="1">
      <c r="A340" s="139">
        <f t="shared" si="74"/>
        <v>17</v>
      </c>
      <c r="B340" s="134" t="s">
        <v>174</v>
      </c>
      <c r="C340" s="133"/>
      <c r="D340" s="133"/>
      <c r="E340" s="133"/>
      <c r="F340" s="133">
        <v>1</v>
      </c>
      <c r="G340" s="133">
        <v>1</v>
      </c>
      <c r="H340" s="133">
        <v>1</v>
      </c>
      <c r="I340" s="133"/>
      <c r="J340" s="133">
        <v>1</v>
      </c>
      <c r="K340" s="140">
        <v>1</v>
      </c>
    </row>
    <row r="341" spans="1:11" ht="20" customHeight="1">
      <c r="A341" s="139">
        <f t="shared" si="74"/>
        <v>18</v>
      </c>
      <c r="B341" s="134" t="s">
        <v>176</v>
      </c>
      <c r="C341" s="133"/>
      <c r="D341" s="133"/>
      <c r="E341" s="133"/>
      <c r="F341" s="133">
        <v>1</v>
      </c>
      <c r="G341" s="133">
        <v>1</v>
      </c>
      <c r="H341" s="133">
        <v>1</v>
      </c>
      <c r="I341" s="133"/>
      <c r="J341" s="133">
        <v>1</v>
      </c>
      <c r="K341" s="140">
        <v>1</v>
      </c>
    </row>
    <row r="342" spans="1:11" ht="20" customHeight="1">
      <c r="A342" s="139">
        <f t="shared" si="74"/>
        <v>19</v>
      </c>
      <c r="B342" s="134" t="s">
        <v>228</v>
      </c>
      <c r="C342" s="133"/>
      <c r="D342" s="133"/>
      <c r="E342" s="133"/>
      <c r="F342" s="133">
        <v>1</v>
      </c>
      <c r="G342" s="133">
        <v>1</v>
      </c>
      <c r="H342" s="133">
        <v>1</v>
      </c>
      <c r="I342" s="133"/>
      <c r="J342" s="133">
        <v>1</v>
      </c>
      <c r="K342" s="140">
        <v>1</v>
      </c>
    </row>
    <row r="343" spans="1:11" ht="20" customHeight="1">
      <c r="A343" s="139">
        <f t="shared" si="74"/>
        <v>20</v>
      </c>
      <c r="B343" s="134" t="s">
        <v>555</v>
      </c>
      <c r="C343" s="133"/>
      <c r="D343" s="133"/>
      <c r="E343" s="133"/>
      <c r="F343" s="133">
        <v>1</v>
      </c>
      <c r="G343" s="133">
        <v>1</v>
      </c>
      <c r="H343" s="133">
        <v>1</v>
      </c>
      <c r="I343" s="133"/>
      <c r="J343" s="133">
        <v>1</v>
      </c>
      <c r="K343" s="140">
        <v>1</v>
      </c>
    </row>
    <row r="344" spans="1:11" ht="20" customHeight="1">
      <c r="A344" s="139">
        <f t="shared" si="74"/>
        <v>21</v>
      </c>
      <c r="B344" s="79" t="s">
        <v>540</v>
      </c>
      <c r="C344" s="133"/>
      <c r="D344" s="133"/>
      <c r="E344" s="133"/>
      <c r="F344" s="133">
        <v>1</v>
      </c>
      <c r="G344" s="133">
        <v>1</v>
      </c>
      <c r="H344" s="133">
        <v>1</v>
      </c>
      <c r="I344" s="133"/>
      <c r="J344" s="133">
        <v>1</v>
      </c>
      <c r="K344" s="140">
        <v>1</v>
      </c>
    </row>
    <row r="345" spans="1:11" ht="20" customHeight="1">
      <c r="A345" s="139">
        <f t="shared" si="74"/>
        <v>22</v>
      </c>
      <c r="B345" s="134" t="s">
        <v>179</v>
      </c>
      <c r="C345" s="133"/>
      <c r="D345" s="133"/>
      <c r="E345" s="133"/>
      <c r="F345" s="133">
        <v>1</v>
      </c>
      <c r="G345" s="133">
        <v>1</v>
      </c>
      <c r="H345" s="133">
        <v>1</v>
      </c>
      <c r="I345" s="133"/>
      <c r="J345" s="133">
        <v>1</v>
      </c>
      <c r="K345" s="140">
        <v>1</v>
      </c>
    </row>
    <row r="346" spans="1:11" ht="20" customHeight="1">
      <c r="A346" s="139">
        <f t="shared" si="74"/>
        <v>23</v>
      </c>
      <c r="B346" s="134" t="s">
        <v>181</v>
      </c>
      <c r="C346" s="133"/>
      <c r="D346" s="133"/>
      <c r="E346" s="133"/>
      <c r="F346" s="133">
        <v>1</v>
      </c>
      <c r="G346" s="133">
        <v>1</v>
      </c>
      <c r="H346" s="133">
        <v>1</v>
      </c>
      <c r="I346" s="133"/>
      <c r="J346" s="133">
        <v>1</v>
      </c>
      <c r="K346" s="140">
        <v>1</v>
      </c>
    </row>
    <row r="347" spans="1:11" ht="20" customHeight="1">
      <c r="A347" s="139">
        <f t="shared" si="74"/>
        <v>24</v>
      </c>
      <c r="B347" s="134" t="s">
        <v>183</v>
      </c>
      <c r="C347" s="133"/>
      <c r="D347" s="133"/>
      <c r="E347" s="133"/>
      <c r="F347" s="133">
        <v>1</v>
      </c>
      <c r="G347" s="133">
        <v>1</v>
      </c>
      <c r="H347" s="133">
        <v>1</v>
      </c>
      <c r="I347" s="133"/>
      <c r="J347" s="133">
        <v>1</v>
      </c>
      <c r="K347" s="140">
        <v>1</v>
      </c>
    </row>
    <row r="348" spans="1:11" ht="20" customHeight="1">
      <c r="A348" s="139">
        <f t="shared" si="74"/>
        <v>25</v>
      </c>
      <c r="B348" s="134" t="s">
        <v>185</v>
      </c>
      <c r="C348" s="133"/>
      <c r="D348" s="133"/>
      <c r="E348" s="133"/>
      <c r="F348" s="133">
        <v>1</v>
      </c>
      <c r="G348" s="133">
        <v>1</v>
      </c>
      <c r="H348" s="133">
        <v>1</v>
      </c>
      <c r="I348" s="133"/>
      <c r="J348" s="133">
        <v>1</v>
      </c>
      <c r="K348" s="140">
        <v>1</v>
      </c>
    </row>
    <row r="349" spans="1:11" ht="20" customHeight="1">
      <c r="A349" s="139">
        <f t="shared" si="74"/>
        <v>26</v>
      </c>
      <c r="B349" s="134" t="s">
        <v>187</v>
      </c>
      <c r="C349" s="133"/>
      <c r="D349" s="133"/>
      <c r="E349" s="133"/>
      <c r="F349" s="133">
        <v>1</v>
      </c>
      <c r="G349" s="133">
        <v>1</v>
      </c>
      <c r="H349" s="133">
        <v>1</v>
      </c>
      <c r="I349" s="133"/>
      <c r="J349" s="133">
        <v>1</v>
      </c>
      <c r="K349" s="140">
        <v>1</v>
      </c>
    </row>
    <row r="350" spans="1:11" ht="20" customHeight="1">
      <c r="A350" s="139">
        <f t="shared" si="74"/>
        <v>27</v>
      </c>
      <c r="B350" s="134" t="s">
        <v>189</v>
      </c>
      <c r="C350" s="133"/>
      <c r="D350" s="133"/>
      <c r="E350" s="133"/>
      <c r="F350" s="133">
        <v>1</v>
      </c>
      <c r="G350" s="133">
        <v>1</v>
      </c>
      <c r="H350" s="133">
        <v>1</v>
      </c>
      <c r="I350" s="133"/>
      <c r="J350" s="133">
        <v>1</v>
      </c>
      <c r="K350" s="140">
        <v>1</v>
      </c>
    </row>
    <row r="351" spans="1:11" ht="20" customHeight="1">
      <c r="A351" s="139">
        <f t="shared" si="74"/>
        <v>28</v>
      </c>
      <c r="B351" s="132" t="s">
        <v>19</v>
      </c>
      <c r="C351" s="133"/>
      <c r="D351" s="133"/>
      <c r="E351" s="133"/>
      <c r="F351" s="133">
        <v>1</v>
      </c>
      <c r="G351" s="133">
        <v>1</v>
      </c>
      <c r="H351" s="133">
        <v>1</v>
      </c>
      <c r="I351" s="133"/>
      <c r="J351" s="133">
        <v>1</v>
      </c>
      <c r="K351" s="140">
        <v>1</v>
      </c>
    </row>
    <row r="352" spans="1:11" ht="20" customHeight="1">
      <c r="A352" s="139">
        <f t="shared" si="74"/>
        <v>29</v>
      </c>
      <c r="B352" s="132" t="s">
        <v>75</v>
      </c>
      <c r="C352" s="133"/>
      <c r="D352" s="133"/>
      <c r="E352" s="133"/>
      <c r="F352" s="133">
        <v>1</v>
      </c>
      <c r="G352" s="133">
        <v>1</v>
      </c>
      <c r="H352" s="133">
        <v>1</v>
      </c>
      <c r="I352" s="133"/>
      <c r="J352" s="133">
        <v>1</v>
      </c>
      <c r="K352" s="140">
        <v>1</v>
      </c>
    </row>
    <row r="353" spans="1:11" ht="20" customHeight="1">
      <c r="A353" s="139">
        <f t="shared" si="74"/>
        <v>30</v>
      </c>
      <c r="B353" s="132" t="s">
        <v>76</v>
      </c>
      <c r="C353" s="133"/>
      <c r="D353" s="133"/>
      <c r="E353" s="133"/>
      <c r="F353" s="133">
        <v>1</v>
      </c>
      <c r="G353" s="133">
        <v>1</v>
      </c>
      <c r="H353" s="133">
        <v>1</v>
      </c>
      <c r="I353" s="133"/>
      <c r="J353" s="133">
        <v>1</v>
      </c>
      <c r="K353" s="140">
        <v>1</v>
      </c>
    </row>
    <row r="354" spans="1:11" ht="20" customHeight="1">
      <c r="A354" s="139">
        <f t="shared" si="74"/>
        <v>31</v>
      </c>
      <c r="B354" s="132" t="s">
        <v>452</v>
      </c>
      <c r="C354" s="133"/>
      <c r="D354" s="133"/>
      <c r="E354" s="133"/>
      <c r="F354" s="133">
        <v>1</v>
      </c>
      <c r="G354" s="133">
        <v>1</v>
      </c>
      <c r="H354" s="133">
        <v>1</v>
      </c>
      <c r="I354" s="133"/>
      <c r="J354" s="133">
        <v>1</v>
      </c>
      <c r="K354" s="140">
        <v>1</v>
      </c>
    </row>
    <row r="355" spans="1:11" ht="20" customHeight="1">
      <c r="A355" s="139">
        <f t="shared" si="74"/>
        <v>32</v>
      </c>
      <c r="B355" s="132" t="s">
        <v>69</v>
      </c>
      <c r="C355" s="133"/>
      <c r="D355" s="133"/>
      <c r="E355" s="133"/>
      <c r="F355" s="133">
        <v>1</v>
      </c>
      <c r="G355" s="133">
        <v>1</v>
      </c>
      <c r="H355" s="133">
        <v>1</v>
      </c>
      <c r="I355" s="133"/>
      <c r="J355" s="133">
        <v>1</v>
      </c>
      <c r="K355" s="140">
        <v>1</v>
      </c>
    </row>
    <row r="356" spans="1:11" ht="20" customHeight="1">
      <c r="A356" s="139">
        <f t="shared" si="74"/>
        <v>33</v>
      </c>
      <c r="B356" s="132" t="s">
        <v>554</v>
      </c>
      <c r="C356" s="133"/>
      <c r="D356" s="133"/>
      <c r="E356" s="133"/>
      <c r="F356" s="133">
        <v>1</v>
      </c>
      <c r="G356" s="133">
        <v>1</v>
      </c>
      <c r="H356" s="133">
        <v>1</v>
      </c>
      <c r="I356" s="133"/>
      <c r="J356" s="133">
        <v>1</v>
      </c>
      <c r="K356" s="140">
        <v>1</v>
      </c>
    </row>
    <row r="357" spans="1:11" ht="20" customHeight="1">
      <c r="A357" s="139">
        <f t="shared" si="74"/>
        <v>34</v>
      </c>
      <c r="B357" s="132" t="s">
        <v>195</v>
      </c>
      <c r="C357" s="133"/>
      <c r="D357" s="133"/>
      <c r="E357" s="133"/>
      <c r="F357" s="133">
        <v>1</v>
      </c>
      <c r="G357" s="133">
        <v>1</v>
      </c>
      <c r="H357" s="133">
        <v>1</v>
      </c>
      <c r="I357" s="133"/>
      <c r="J357" s="133">
        <v>1</v>
      </c>
      <c r="K357" s="140">
        <v>1</v>
      </c>
    </row>
    <row r="358" spans="1:11" ht="20" customHeight="1">
      <c r="A358" s="139">
        <f t="shared" si="74"/>
        <v>35</v>
      </c>
      <c r="B358" s="132" t="s">
        <v>197</v>
      </c>
      <c r="C358" s="133"/>
      <c r="D358" s="133"/>
      <c r="E358" s="133"/>
      <c r="F358" s="133">
        <v>1</v>
      </c>
      <c r="G358" s="133">
        <v>1</v>
      </c>
      <c r="H358" s="133">
        <v>1</v>
      </c>
      <c r="I358" s="133"/>
      <c r="J358" s="133">
        <v>1</v>
      </c>
      <c r="K358" s="140">
        <v>1</v>
      </c>
    </row>
    <row r="359" spans="1:11" ht="20" customHeight="1">
      <c r="A359" s="139">
        <f t="shared" si="74"/>
        <v>36</v>
      </c>
      <c r="B359" s="132" t="s">
        <v>199</v>
      </c>
      <c r="C359" s="133"/>
      <c r="D359" s="133"/>
      <c r="E359" s="133"/>
      <c r="F359" s="133">
        <v>1</v>
      </c>
      <c r="G359" s="133">
        <v>1</v>
      </c>
      <c r="H359" s="133">
        <v>1</v>
      </c>
      <c r="I359" s="133"/>
      <c r="J359" s="133">
        <v>1</v>
      </c>
      <c r="K359" s="140">
        <v>1</v>
      </c>
    </row>
    <row r="360" spans="1:11" ht="20" customHeight="1">
      <c r="A360" s="139">
        <f t="shared" si="74"/>
        <v>37</v>
      </c>
      <c r="B360" s="132" t="s">
        <v>6</v>
      </c>
      <c r="C360" s="133"/>
      <c r="D360" s="133"/>
      <c r="E360" s="133"/>
      <c r="F360" s="133">
        <v>1</v>
      </c>
      <c r="G360" s="133">
        <v>1</v>
      </c>
      <c r="H360" s="133">
        <v>1</v>
      </c>
      <c r="I360" s="133"/>
      <c r="J360" s="133">
        <v>1</v>
      </c>
      <c r="K360" s="140">
        <v>1</v>
      </c>
    </row>
    <row r="361" spans="1:11" ht="20" customHeight="1">
      <c r="A361" s="139">
        <f t="shared" si="74"/>
        <v>38</v>
      </c>
      <c r="B361" s="132" t="s">
        <v>20</v>
      </c>
      <c r="C361" s="133"/>
      <c r="D361" s="133"/>
      <c r="E361" s="133"/>
      <c r="F361" s="133">
        <v>1</v>
      </c>
      <c r="G361" s="133">
        <v>1</v>
      </c>
      <c r="H361" s="133">
        <v>1</v>
      </c>
      <c r="I361" s="133"/>
      <c r="J361" s="133">
        <v>1</v>
      </c>
      <c r="K361" s="140">
        <v>1</v>
      </c>
    </row>
    <row r="362" spans="1:11" ht="20" customHeight="1">
      <c r="A362" s="139">
        <f t="shared" si="74"/>
        <v>39</v>
      </c>
      <c r="B362" s="132" t="s">
        <v>7</v>
      </c>
      <c r="C362" s="133"/>
      <c r="D362" s="133"/>
      <c r="E362" s="133"/>
      <c r="F362" s="133">
        <v>1</v>
      </c>
      <c r="G362" s="133">
        <v>1</v>
      </c>
      <c r="H362" s="133">
        <v>1</v>
      </c>
      <c r="I362" s="133"/>
      <c r="J362" s="133">
        <v>1</v>
      </c>
      <c r="K362" s="140">
        <v>1</v>
      </c>
    </row>
    <row r="363" spans="1:11" ht="20" customHeight="1">
      <c r="A363" s="139">
        <f t="shared" si="74"/>
        <v>40</v>
      </c>
      <c r="B363" s="134" t="s">
        <v>204</v>
      </c>
      <c r="C363" s="133">
        <v>1</v>
      </c>
      <c r="D363" s="133">
        <v>1</v>
      </c>
      <c r="E363" s="133">
        <v>2</v>
      </c>
      <c r="F363" s="133">
        <v>1</v>
      </c>
      <c r="G363" s="133">
        <v>1</v>
      </c>
      <c r="H363" s="133">
        <v>1</v>
      </c>
      <c r="I363" s="133"/>
      <c r="J363" s="133">
        <v>1</v>
      </c>
      <c r="K363" s="140">
        <v>1</v>
      </c>
    </row>
    <row r="364" spans="1:11" ht="20" customHeight="1">
      <c r="A364" s="139">
        <f t="shared" si="74"/>
        <v>41</v>
      </c>
      <c r="B364" s="132" t="s">
        <v>206</v>
      </c>
      <c r="C364" s="133"/>
      <c r="D364" s="133"/>
      <c r="E364" s="133"/>
      <c r="F364" s="133">
        <v>1</v>
      </c>
      <c r="G364" s="133">
        <v>1</v>
      </c>
      <c r="H364" s="133">
        <v>1</v>
      </c>
      <c r="I364" s="133"/>
      <c r="J364" s="133">
        <v>1</v>
      </c>
      <c r="K364" s="140">
        <v>1</v>
      </c>
    </row>
    <row r="365" spans="1:11" ht="20" customHeight="1">
      <c r="A365" s="139">
        <f t="shared" si="74"/>
        <v>42</v>
      </c>
      <c r="B365" s="132" t="s">
        <v>208</v>
      </c>
      <c r="C365" s="133"/>
      <c r="D365" s="133"/>
      <c r="E365" s="133"/>
      <c r="F365" s="133">
        <v>1</v>
      </c>
      <c r="G365" s="133">
        <v>1</v>
      </c>
      <c r="H365" s="133">
        <v>1</v>
      </c>
      <c r="I365" s="133"/>
      <c r="J365" s="133">
        <v>1</v>
      </c>
      <c r="K365" s="140">
        <v>1</v>
      </c>
    </row>
    <row r="366" spans="1:11" ht="20" customHeight="1">
      <c r="A366" s="139">
        <f t="shared" si="74"/>
        <v>43</v>
      </c>
      <c r="B366" s="132" t="s">
        <v>210</v>
      </c>
      <c r="C366" s="133"/>
      <c r="D366" s="133"/>
      <c r="E366" s="133"/>
      <c r="F366" s="133">
        <v>1</v>
      </c>
      <c r="G366" s="133">
        <v>1</v>
      </c>
      <c r="H366" s="133">
        <v>1</v>
      </c>
      <c r="I366" s="133"/>
      <c r="J366" s="133">
        <v>1</v>
      </c>
      <c r="K366" s="140">
        <v>1</v>
      </c>
    </row>
    <row r="367" spans="1:11" ht="20" customHeight="1">
      <c r="A367" s="139">
        <f t="shared" si="74"/>
        <v>44</v>
      </c>
      <c r="B367" s="132" t="s">
        <v>212</v>
      </c>
      <c r="C367" s="133"/>
      <c r="D367" s="133"/>
      <c r="E367" s="133"/>
      <c r="F367" s="133">
        <v>1</v>
      </c>
      <c r="G367" s="133">
        <v>1</v>
      </c>
      <c r="H367" s="133">
        <v>1</v>
      </c>
      <c r="I367" s="133"/>
      <c r="J367" s="133">
        <v>1</v>
      </c>
      <c r="K367" s="140">
        <v>1</v>
      </c>
    </row>
    <row r="368" spans="1:11" ht="20" customHeight="1">
      <c r="A368" s="139">
        <f t="shared" si="74"/>
        <v>45</v>
      </c>
      <c r="B368" s="132" t="s">
        <v>214</v>
      </c>
      <c r="C368" s="133"/>
      <c r="D368" s="133"/>
      <c r="E368" s="133"/>
      <c r="F368" s="133">
        <v>1</v>
      </c>
      <c r="G368" s="133">
        <v>1</v>
      </c>
      <c r="H368" s="133">
        <v>1</v>
      </c>
      <c r="I368" s="133"/>
      <c r="J368" s="133">
        <v>1</v>
      </c>
      <c r="K368" s="140">
        <v>1</v>
      </c>
    </row>
    <row r="369" spans="1:11" ht="20" customHeight="1">
      <c r="A369" s="139">
        <f t="shared" si="74"/>
        <v>46</v>
      </c>
      <c r="B369" s="132" t="s">
        <v>18</v>
      </c>
      <c r="C369" s="133"/>
      <c r="D369" s="133"/>
      <c r="E369" s="133"/>
      <c r="F369" s="133">
        <v>1</v>
      </c>
      <c r="G369" s="133">
        <v>1</v>
      </c>
      <c r="H369" s="133">
        <v>1</v>
      </c>
      <c r="I369" s="133"/>
      <c r="J369" s="133">
        <v>1</v>
      </c>
      <c r="K369" s="140">
        <v>1</v>
      </c>
    </row>
    <row r="370" spans="1:11" ht="20" customHeight="1">
      <c r="A370" s="139">
        <f t="shared" si="74"/>
        <v>47</v>
      </c>
      <c r="B370" s="132" t="s">
        <v>553</v>
      </c>
      <c r="C370" s="133"/>
      <c r="D370" s="133"/>
      <c r="E370" s="133"/>
      <c r="F370" s="133"/>
      <c r="G370" s="133"/>
      <c r="H370" s="133"/>
      <c r="I370" s="133">
        <v>1</v>
      </c>
      <c r="J370" s="133">
        <v>2</v>
      </c>
      <c r="K370" s="140">
        <v>4</v>
      </c>
    </row>
    <row r="371" spans="1:11" ht="20" customHeight="1">
      <c r="A371" s="139">
        <f t="shared" si="74"/>
        <v>48</v>
      </c>
      <c r="B371" s="132" t="s">
        <v>217</v>
      </c>
      <c r="C371" s="133"/>
      <c r="D371" s="133"/>
      <c r="E371" s="133"/>
      <c r="F371" s="133"/>
      <c r="G371" s="133"/>
      <c r="H371" s="133"/>
      <c r="I371" s="133">
        <v>1</v>
      </c>
      <c r="J371" s="133">
        <v>2</v>
      </c>
      <c r="K371" s="140">
        <v>4</v>
      </c>
    </row>
    <row r="372" spans="1:11" ht="20" customHeight="1">
      <c r="A372" s="139">
        <f t="shared" si="74"/>
        <v>49</v>
      </c>
      <c r="B372" s="132" t="s">
        <v>270</v>
      </c>
      <c r="C372" s="133"/>
      <c r="D372" s="133"/>
      <c r="E372" s="133"/>
      <c r="F372" s="133">
        <v>1</v>
      </c>
      <c r="G372" s="133">
        <v>1</v>
      </c>
      <c r="H372" s="133">
        <v>1</v>
      </c>
      <c r="I372" s="133"/>
      <c r="J372" s="133">
        <v>1</v>
      </c>
      <c r="K372" s="140">
        <v>2</v>
      </c>
    </row>
    <row r="373" spans="1:11" ht="20" customHeight="1">
      <c r="A373" s="139">
        <f t="shared" si="74"/>
        <v>50</v>
      </c>
      <c r="B373" s="132" t="s">
        <v>272</v>
      </c>
      <c r="C373" s="133"/>
      <c r="D373" s="133"/>
      <c r="E373" s="133"/>
      <c r="F373" s="133">
        <v>1</v>
      </c>
      <c r="G373" s="133">
        <v>1</v>
      </c>
      <c r="H373" s="133">
        <v>1</v>
      </c>
      <c r="I373" s="133"/>
      <c r="J373" s="133">
        <v>1</v>
      </c>
      <c r="K373" s="140">
        <v>1</v>
      </c>
    </row>
    <row r="374" spans="1:11" ht="20" customHeight="1">
      <c r="A374" s="139">
        <f t="shared" si="74"/>
        <v>51</v>
      </c>
      <c r="B374" s="132" t="s">
        <v>288</v>
      </c>
      <c r="C374" s="133"/>
      <c r="D374" s="133"/>
      <c r="E374" s="133"/>
      <c r="F374" s="133">
        <v>1</v>
      </c>
      <c r="G374" s="133">
        <v>1</v>
      </c>
      <c r="H374" s="133">
        <v>1</v>
      </c>
      <c r="I374" s="133"/>
      <c r="J374" s="133">
        <v>1</v>
      </c>
      <c r="K374" s="140">
        <v>1</v>
      </c>
    </row>
    <row r="375" spans="1:11" ht="20" customHeight="1">
      <c r="A375" s="139">
        <f t="shared" si="74"/>
        <v>52</v>
      </c>
      <c r="B375" s="132" t="s">
        <v>17</v>
      </c>
      <c r="C375" s="133"/>
      <c r="D375" s="133"/>
      <c r="E375" s="133"/>
      <c r="F375" s="133">
        <v>1</v>
      </c>
      <c r="G375" s="133">
        <v>1</v>
      </c>
      <c r="H375" s="133">
        <v>1</v>
      </c>
      <c r="I375" s="133"/>
      <c r="J375" s="133">
        <v>2</v>
      </c>
      <c r="K375" s="140">
        <v>4</v>
      </c>
    </row>
    <row r="376" spans="1:11" ht="20" customHeight="1" thickBot="1">
      <c r="A376" s="139">
        <f t="shared" si="74"/>
        <v>53</v>
      </c>
      <c r="B376" s="141" t="s">
        <v>40</v>
      </c>
      <c r="C376" s="142"/>
      <c r="D376" s="142"/>
      <c r="E376" s="142"/>
      <c r="F376" s="142">
        <v>1</v>
      </c>
      <c r="G376" s="142">
        <v>1</v>
      </c>
      <c r="H376" s="142">
        <v>1</v>
      </c>
      <c r="I376" s="142"/>
      <c r="J376" s="142">
        <v>1</v>
      </c>
      <c r="K376" s="143">
        <v>1</v>
      </c>
    </row>
    <row r="380" spans="1:11" ht="43" customHeight="1" thickBot="1">
      <c r="C380" s="390" t="s">
        <v>389</v>
      </c>
      <c r="D380" s="390"/>
      <c r="E380" s="390"/>
      <c r="F380" s="390"/>
      <c r="G380" s="198"/>
      <c r="H380" s="198"/>
      <c r="I380" s="198"/>
    </row>
    <row r="381" spans="1:11" ht="20" customHeight="1">
      <c r="A381" s="135" t="s">
        <v>147</v>
      </c>
      <c r="B381" s="136" t="s">
        <v>148</v>
      </c>
      <c r="C381" s="137">
        <v>1</v>
      </c>
      <c r="D381" s="137">
        <v>5</v>
      </c>
      <c r="E381" s="137">
        <v>10</v>
      </c>
      <c r="F381" s="137">
        <v>25</v>
      </c>
      <c r="G381" s="137">
        <v>50</v>
      </c>
      <c r="H381" s="137">
        <v>100</v>
      </c>
      <c r="I381" s="137">
        <v>250</v>
      </c>
      <c r="J381" s="137">
        <v>500</v>
      </c>
      <c r="K381" s="138">
        <v>1000</v>
      </c>
    </row>
    <row r="382" spans="1:11" ht="20" customHeight="1">
      <c r="A382" s="139">
        <v>1</v>
      </c>
      <c r="B382" s="132" t="s">
        <v>15</v>
      </c>
      <c r="C382" s="133"/>
      <c r="D382" s="133"/>
      <c r="E382" s="133"/>
      <c r="F382" s="133"/>
      <c r="G382" s="133"/>
      <c r="H382" s="133"/>
      <c r="I382" s="133"/>
      <c r="J382" s="133"/>
      <c r="K382" s="140"/>
    </row>
    <row r="383" spans="1:11" ht="20" customHeight="1">
      <c r="A383" s="139">
        <f t="shared" ref="A383:A430" si="75">+A382+1</f>
        <v>2</v>
      </c>
      <c r="B383" s="134" t="s">
        <v>35</v>
      </c>
      <c r="C383" s="133"/>
      <c r="D383" s="146"/>
      <c r="E383" s="133"/>
      <c r="F383" s="133"/>
      <c r="G383" s="133"/>
      <c r="H383" s="133"/>
      <c r="I383" s="133"/>
      <c r="J383" s="133"/>
      <c r="K383" s="140"/>
    </row>
    <row r="384" spans="1:11" ht="20" customHeight="1">
      <c r="A384" s="139">
        <f t="shared" si="75"/>
        <v>3</v>
      </c>
      <c r="B384" s="134" t="s">
        <v>543</v>
      </c>
      <c r="C384" s="133"/>
      <c r="D384" s="133"/>
      <c r="E384" s="133"/>
      <c r="F384" s="133"/>
      <c r="G384" s="133"/>
      <c r="H384" s="133"/>
      <c r="I384" s="133"/>
      <c r="J384" s="133"/>
      <c r="K384" s="140"/>
    </row>
    <row r="385" spans="1:11" ht="20" customHeight="1">
      <c r="A385" s="139">
        <f t="shared" si="75"/>
        <v>4</v>
      </c>
      <c r="B385" s="134" t="s">
        <v>1</v>
      </c>
      <c r="C385" s="133"/>
      <c r="D385" s="133"/>
      <c r="E385" s="133"/>
      <c r="F385" s="133"/>
      <c r="G385" s="133"/>
      <c r="H385" s="133"/>
      <c r="I385" s="133"/>
      <c r="J385" s="133"/>
      <c r="K385" s="140"/>
    </row>
    <row r="386" spans="1:11" ht="20" customHeight="1">
      <c r="A386" s="139">
        <f t="shared" si="75"/>
        <v>5</v>
      </c>
      <c r="B386" s="134" t="s">
        <v>158</v>
      </c>
      <c r="C386" s="133"/>
      <c r="D386" s="133"/>
      <c r="E386" s="133"/>
      <c r="F386" s="133"/>
      <c r="G386" s="133"/>
      <c r="H386" s="133"/>
      <c r="I386" s="133"/>
      <c r="J386" s="133"/>
      <c r="K386" s="140"/>
    </row>
    <row r="387" spans="1:11" ht="20" customHeight="1">
      <c r="A387" s="139">
        <f t="shared" si="75"/>
        <v>6</v>
      </c>
      <c r="B387" s="134" t="s">
        <v>5</v>
      </c>
      <c r="C387" s="133"/>
      <c r="D387" s="133"/>
      <c r="E387" s="133"/>
      <c r="F387" s="133"/>
      <c r="G387" s="133"/>
      <c r="H387" s="133"/>
      <c r="I387" s="133"/>
      <c r="J387" s="133"/>
      <c r="K387" s="140"/>
    </row>
    <row r="388" spans="1:11" ht="20" customHeight="1">
      <c r="A388" s="139">
        <f t="shared" si="75"/>
        <v>7</v>
      </c>
      <c r="B388" s="134" t="s">
        <v>161</v>
      </c>
      <c r="C388" s="133"/>
      <c r="D388" s="133"/>
      <c r="E388" s="133"/>
      <c r="F388" s="133"/>
      <c r="G388" s="133"/>
      <c r="H388" s="133"/>
      <c r="I388" s="133"/>
      <c r="J388" s="133"/>
      <c r="K388" s="140"/>
    </row>
    <row r="389" spans="1:11" ht="20" customHeight="1">
      <c r="A389" s="139">
        <f t="shared" si="75"/>
        <v>8</v>
      </c>
      <c r="B389" s="134" t="s">
        <v>163</v>
      </c>
      <c r="C389" s="133"/>
      <c r="D389" s="133"/>
      <c r="E389" s="133"/>
      <c r="F389" s="133"/>
      <c r="G389" s="133"/>
      <c r="H389" s="133"/>
      <c r="I389" s="133"/>
      <c r="J389" s="133"/>
      <c r="K389" s="140"/>
    </row>
    <row r="390" spans="1:11" ht="20" customHeight="1">
      <c r="A390" s="139">
        <f t="shared" si="75"/>
        <v>9</v>
      </c>
      <c r="B390" s="134" t="s">
        <v>0</v>
      </c>
      <c r="C390" s="133"/>
      <c r="D390" s="133"/>
      <c r="E390" s="133"/>
      <c r="F390" s="133"/>
      <c r="G390" s="133"/>
      <c r="H390" s="133"/>
      <c r="I390" s="133"/>
      <c r="J390" s="133"/>
      <c r="K390" s="140"/>
    </row>
    <row r="391" spans="1:11" ht="20" customHeight="1">
      <c r="A391" s="139">
        <f t="shared" si="75"/>
        <v>10</v>
      </c>
      <c r="B391" s="134" t="s">
        <v>2</v>
      </c>
      <c r="C391" s="133"/>
      <c r="D391" s="133"/>
      <c r="E391" s="133"/>
      <c r="F391" s="133"/>
      <c r="G391" s="133"/>
      <c r="H391" s="133"/>
      <c r="I391" s="133"/>
      <c r="J391" s="133"/>
      <c r="K391" s="140"/>
    </row>
    <row r="392" spans="1:11" ht="20" customHeight="1">
      <c r="A392" s="139">
        <f t="shared" si="75"/>
        <v>11</v>
      </c>
      <c r="B392" s="134" t="s">
        <v>3</v>
      </c>
      <c r="C392" s="133"/>
      <c r="D392" s="133"/>
      <c r="E392" s="133"/>
      <c r="F392" s="133"/>
      <c r="G392" s="133"/>
      <c r="H392" s="133"/>
      <c r="I392" s="133"/>
      <c r="J392" s="133"/>
      <c r="K392" s="140"/>
    </row>
    <row r="393" spans="1:11" ht="20" customHeight="1">
      <c r="A393" s="139">
        <f t="shared" si="75"/>
        <v>12</v>
      </c>
      <c r="B393" s="134" t="s">
        <v>41</v>
      </c>
      <c r="C393" s="133"/>
      <c r="D393" s="133"/>
      <c r="E393" s="133"/>
      <c r="F393" s="133"/>
      <c r="G393" s="133"/>
      <c r="H393" s="133"/>
      <c r="I393" s="133"/>
      <c r="J393" s="133"/>
      <c r="K393" s="140"/>
    </row>
    <row r="394" spans="1:11" ht="20" customHeight="1">
      <c r="A394" s="139">
        <f t="shared" si="75"/>
        <v>13</v>
      </c>
      <c r="B394" s="132" t="s">
        <v>16</v>
      </c>
      <c r="C394" s="133"/>
      <c r="D394" s="133"/>
      <c r="E394" s="133"/>
      <c r="F394" s="133"/>
      <c r="G394" s="133"/>
      <c r="H394" s="133"/>
      <c r="I394" s="133"/>
      <c r="J394" s="133"/>
      <c r="K394" s="140"/>
    </row>
    <row r="395" spans="1:11" ht="20" customHeight="1">
      <c r="A395" s="139">
        <f t="shared" si="75"/>
        <v>14</v>
      </c>
      <c r="B395" s="132" t="s">
        <v>12</v>
      </c>
      <c r="C395" s="133"/>
      <c r="D395" s="133"/>
      <c r="E395" s="133"/>
      <c r="F395" s="133"/>
      <c r="G395" s="133"/>
      <c r="H395" s="133"/>
      <c r="I395" s="133"/>
      <c r="J395" s="133"/>
      <c r="K395" s="140"/>
    </row>
    <row r="396" spans="1:11" ht="20" customHeight="1">
      <c r="A396" s="139">
        <f t="shared" si="75"/>
        <v>15</v>
      </c>
      <c r="B396" s="132" t="s">
        <v>13</v>
      </c>
      <c r="C396" s="133"/>
      <c r="D396" s="133"/>
      <c r="E396" s="133"/>
      <c r="F396" s="133"/>
      <c r="G396" s="133"/>
      <c r="H396" s="133"/>
      <c r="I396" s="133"/>
      <c r="J396" s="133"/>
      <c r="K396" s="140"/>
    </row>
    <row r="397" spans="1:11" ht="20" customHeight="1">
      <c r="A397" s="139">
        <f t="shared" si="75"/>
        <v>16</v>
      </c>
      <c r="B397" s="134" t="s">
        <v>172</v>
      </c>
      <c r="C397" s="133"/>
      <c r="D397" s="133"/>
      <c r="E397" s="133"/>
      <c r="F397" s="133"/>
      <c r="G397" s="133"/>
      <c r="H397" s="133"/>
      <c r="I397" s="133"/>
      <c r="J397" s="133"/>
      <c r="K397" s="140"/>
    </row>
    <row r="398" spans="1:11" ht="20" customHeight="1">
      <c r="A398" s="139">
        <f t="shared" si="75"/>
        <v>17</v>
      </c>
      <c r="B398" s="134" t="s">
        <v>174</v>
      </c>
      <c r="C398" s="133"/>
      <c r="D398" s="133"/>
      <c r="E398" s="133"/>
      <c r="F398" s="133"/>
      <c r="G398" s="133"/>
      <c r="H398" s="133"/>
      <c r="I398" s="133"/>
      <c r="J398" s="133"/>
      <c r="K398" s="140"/>
    </row>
    <row r="399" spans="1:11" ht="20" customHeight="1">
      <c r="A399" s="139">
        <f t="shared" si="75"/>
        <v>18</v>
      </c>
      <c r="B399" s="134" t="s">
        <v>176</v>
      </c>
      <c r="C399" s="133"/>
      <c r="D399" s="133"/>
      <c r="E399" s="133"/>
      <c r="F399" s="133"/>
      <c r="G399" s="133"/>
      <c r="H399" s="133"/>
      <c r="I399" s="133"/>
      <c r="J399" s="133"/>
      <c r="K399" s="140"/>
    </row>
    <row r="400" spans="1:11" ht="20" customHeight="1">
      <c r="A400" s="139">
        <f t="shared" si="75"/>
        <v>19</v>
      </c>
      <c r="B400" s="134" t="s">
        <v>228</v>
      </c>
      <c r="C400" s="133"/>
      <c r="D400" s="133"/>
      <c r="E400" s="133"/>
      <c r="F400" s="133"/>
      <c r="G400" s="133"/>
      <c r="H400" s="133"/>
      <c r="I400" s="133"/>
      <c r="J400" s="133"/>
      <c r="K400" s="140"/>
    </row>
    <row r="401" spans="1:11" ht="20" customHeight="1">
      <c r="A401" s="139">
        <f t="shared" si="75"/>
        <v>20</v>
      </c>
      <c r="B401" s="134" t="s">
        <v>179</v>
      </c>
      <c r="C401" s="133"/>
      <c r="D401" s="133"/>
      <c r="E401" s="133"/>
      <c r="F401" s="133"/>
      <c r="G401" s="133"/>
      <c r="H401" s="133"/>
      <c r="I401" s="133"/>
      <c r="J401" s="133"/>
      <c r="K401" s="140"/>
    </row>
    <row r="402" spans="1:11" ht="20" customHeight="1">
      <c r="A402" s="139">
        <f t="shared" si="75"/>
        <v>21</v>
      </c>
      <c r="B402" s="134" t="s">
        <v>181</v>
      </c>
      <c r="C402" s="133"/>
      <c r="D402" s="133"/>
      <c r="E402" s="133"/>
      <c r="F402" s="133"/>
      <c r="G402" s="133"/>
      <c r="H402" s="133"/>
      <c r="I402" s="133"/>
      <c r="J402" s="133"/>
      <c r="K402" s="140"/>
    </row>
    <row r="403" spans="1:11" ht="20" customHeight="1">
      <c r="A403" s="139">
        <f t="shared" si="75"/>
        <v>22</v>
      </c>
      <c r="B403" s="134" t="s">
        <v>183</v>
      </c>
      <c r="C403" s="133"/>
      <c r="D403" s="133"/>
      <c r="E403" s="133"/>
      <c r="F403" s="133"/>
      <c r="G403" s="133"/>
      <c r="H403" s="133"/>
      <c r="I403" s="133"/>
      <c r="J403" s="133"/>
      <c r="K403" s="140"/>
    </row>
    <row r="404" spans="1:11" ht="20" customHeight="1">
      <c r="A404" s="139">
        <f t="shared" si="75"/>
        <v>23</v>
      </c>
      <c r="B404" s="134" t="s">
        <v>185</v>
      </c>
      <c r="C404" s="133"/>
      <c r="D404" s="133"/>
      <c r="E404" s="133"/>
      <c r="F404" s="133"/>
      <c r="G404" s="133"/>
      <c r="H404" s="133"/>
      <c r="I404" s="133"/>
      <c r="J404" s="133"/>
      <c r="K404" s="140"/>
    </row>
    <row r="405" spans="1:11" ht="20" customHeight="1">
      <c r="A405" s="139">
        <f t="shared" si="75"/>
        <v>24</v>
      </c>
      <c r="B405" s="134" t="s">
        <v>187</v>
      </c>
      <c r="C405" s="133"/>
      <c r="D405" s="133"/>
      <c r="E405" s="133"/>
      <c r="F405" s="133"/>
      <c r="G405" s="133"/>
      <c r="H405" s="133"/>
      <c r="I405" s="133"/>
      <c r="J405" s="133"/>
      <c r="K405" s="140"/>
    </row>
    <row r="406" spans="1:11" ht="20" customHeight="1">
      <c r="A406" s="139">
        <f t="shared" si="75"/>
        <v>25</v>
      </c>
      <c r="B406" s="134" t="s">
        <v>189</v>
      </c>
      <c r="C406" s="133"/>
      <c r="D406" s="133"/>
      <c r="E406" s="133"/>
      <c r="F406" s="133"/>
      <c r="G406" s="133"/>
      <c r="H406" s="133"/>
      <c r="I406" s="133"/>
      <c r="J406" s="133"/>
      <c r="K406" s="140"/>
    </row>
    <row r="407" spans="1:11" ht="20" customHeight="1">
      <c r="A407" s="139">
        <f t="shared" si="75"/>
        <v>26</v>
      </c>
      <c r="B407" s="132" t="s">
        <v>19</v>
      </c>
      <c r="C407" s="133"/>
      <c r="D407" s="133"/>
      <c r="E407" s="133"/>
      <c r="F407" s="133"/>
      <c r="G407" s="133"/>
      <c r="H407" s="133"/>
      <c r="I407" s="133"/>
      <c r="J407" s="133"/>
      <c r="K407" s="140"/>
    </row>
    <row r="408" spans="1:11" ht="20" customHeight="1">
      <c r="A408" s="139">
        <f t="shared" si="75"/>
        <v>27</v>
      </c>
      <c r="B408" s="132" t="s">
        <v>75</v>
      </c>
      <c r="C408" s="133"/>
      <c r="D408" s="133"/>
      <c r="E408" s="133"/>
      <c r="F408" s="133"/>
      <c r="G408" s="133"/>
      <c r="H408" s="133"/>
      <c r="I408" s="133"/>
      <c r="J408" s="133"/>
      <c r="K408" s="140"/>
    </row>
    <row r="409" spans="1:11" ht="20" customHeight="1">
      <c r="A409" s="139">
        <f t="shared" si="75"/>
        <v>28</v>
      </c>
      <c r="B409" s="132" t="s">
        <v>76</v>
      </c>
      <c r="C409" s="133"/>
      <c r="D409" s="133"/>
      <c r="E409" s="133"/>
      <c r="F409" s="133"/>
      <c r="G409" s="133"/>
      <c r="H409" s="133"/>
      <c r="I409" s="133"/>
      <c r="J409" s="133"/>
      <c r="K409" s="140"/>
    </row>
    <row r="410" spans="1:11" ht="20" customHeight="1">
      <c r="A410" s="139">
        <f t="shared" si="75"/>
        <v>29</v>
      </c>
      <c r="B410" s="132" t="s">
        <v>452</v>
      </c>
      <c r="C410" s="133"/>
      <c r="D410" s="133"/>
      <c r="E410" s="133"/>
      <c r="F410" s="133"/>
      <c r="G410" s="133"/>
      <c r="H410" s="133"/>
      <c r="I410" s="133"/>
      <c r="J410" s="133"/>
      <c r="K410" s="140"/>
    </row>
    <row r="411" spans="1:11" ht="20" customHeight="1">
      <c r="A411" s="139">
        <f t="shared" si="75"/>
        <v>30</v>
      </c>
      <c r="B411" s="132" t="s">
        <v>195</v>
      </c>
      <c r="C411" s="133"/>
      <c r="D411" s="133"/>
      <c r="E411" s="133"/>
      <c r="F411" s="133"/>
      <c r="G411" s="133"/>
      <c r="H411" s="133"/>
      <c r="I411" s="133"/>
      <c r="J411" s="133"/>
      <c r="K411" s="140"/>
    </row>
    <row r="412" spans="1:11" ht="20" customHeight="1">
      <c r="A412" s="139">
        <f t="shared" si="75"/>
        <v>31</v>
      </c>
      <c r="B412" s="132" t="s">
        <v>197</v>
      </c>
      <c r="C412" s="133"/>
      <c r="D412" s="133"/>
      <c r="E412" s="133"/>
      <c r="F412" s="133"/>
      <c r="G412" s="133"/>
      <c r="H412" s="133"/>
      <c r="I412" s="133"/>
      <c r="J412" s="133"/>
      <c r="K412" s="140"/>
    </row>
    <row r="413" spans="1:11" ht="20" customHeight="1">
      <c r="A413" s="139">
        <f t="shared" si="75"/>
        <v>32</v>
      </c>
      <c r="B413" s="132" t="s">
        <v>199</v>
      </c>
      <c r="C413" s="133"/>
      <c r="D413" s="133"/>
      <c r="E413" s="133"/>
      <c r="F413" s="133"/>
      <c r="G413" s="133"/>
      <c r="H413" s="133"/>
      <c r="I413" s="133"/>
      <c r="J413" s="133"/>
      <c r="K413" s="140"/>
    </row>
    <row r="414" spans="1:11" ht="20" customHeight="1">
      <c r="A414" s="139">
        <f t="shared" si="75"/>
        <v>33</v>
      </c>
      <c r="B414" s="132" t="s">
        <v>6</v>
      </c>
      <c r="C414" s="133"/>
      <c r="D414" s="133"/>
      <c r="E414" s="133"/>
      <c r="F414" s="133"/>
      <c r="G414" s="133"/>
      <c r="H414" s="133"/>
      <c r="I414" s="133"/>
      <c r="J414" s="133"/>
      <c r="K414" s="140"/>
    </row>
    <row r="415" spans="1:11" ht="20" customHeight="1">
      <c r="A415" s="139">
        <f t="shared" si="75"/>
        <v>34</v>
      </c>
      <c r="B415" s="132" t="s">
        <v>20</v>
      </c>
      <c r="C415" s="133"/>
      <c r="D415" s="133"/>
      <c r="E415" s="133"/>
      <c r="F415" s="133"/>
      <c r="G415" s="133"/>
      <c r="H415" s="133"/>
      <c r="I415" s="133"/>
      <c r="J415" s="133"/>
      <c r="K415" s="140"/>
    </row>
    <row r="416" spans="1:11" ht="20" customHeight="1">
      <c r="A416" s="139">
        <f t="shared" si="75"/>
        <v>35</v>
      </c>
      <c r="B416" s="132" t="s">
        <v>7</v>
      </c>
      <c r="C416" s="133"/>
      <c r="D416" s="133"/>
      <c r="E416" s="133"/>
      <c r="F416" s="133"/>
      <c r="G416" s="133"/>
      <c r="H416" s="133"/>
      <c r="I416" s="133"/>
      <c r="J416" s="133"/>
      <c r="K416" s="140"/>
    </row>
    <row r="417" spans="1:30" ht="20" customHeight="1">
      <c r="A417" s="139">
        <f t="shared" si="75"/>
        <v>36</v>
      </c>
      <c r="B417" s="134" t="s">
        <v>204</v>
      </c>
      <c r="C417" s="133"/>
      <c r="D417" s="133"/>
      <c r="E417" s="133"/>
      <c r="F417" s="133"/>
      <c r="G417" s="133"/>
      <c r="H417" s="133"/>
      <c r="I417" s="133"/>
      <c r="J417" s="133"/>
      <c r="K417" s="140"/>
    </row>
    <row r="418" spans="1:30" ht="20" customHeight="1">
      <c r="A418" s="139">
        <f t="shared" si="75"/>
        <v>37</v>
      </c>
      <c r="B418" s="132" t="s">
        <v>206</v>
      </c>
      <c r="C418" s="133"/>
      <c r="D418" s="133"/>
      <c r="E418" s="133"/>
      <c r="F418" s="133"/>
      <c r="G418" s="133"/>
      <c r="H418" s="133"/>
      <c r="I418" s="133"/>
      <c r="J418" s="133"/>
      <c r="K418" s="140"/>
    </row>
    <row r="419" spans="1:30" ht="20" customHeight="1">
      <c r="A419" s="139">
        <f t="shared" si="75"/>
        <v>38</v>
      </c>
      <c r="B419" s="132" t="s">
        <v>208</v>
      </c>
      <c r="C419" s="133"/>
      <c r="D419" s="133"/>
      <c r="E419" s="133"/>
      <c r="F419" s="133"/>
      <c r="G419" s="133"/>
      <c r="H419" s="133"/>
      <c r="I419" s="133"/>
      <c r="J419" s="133"/>
      <c r="K419" s="140"/>
    </row>
    <row r="420" spans="1:30" ht="20" customHeight="1">
      <c r="A420" s="139">
        <f t="shared" si="75"/>
        <v>39</v>
      </c>
      <c r="B420" s="132" t="s">
        <v>210</v>
      </c>
      <c r="C420" s="133"/>
      <c r="D420" s="133"/>
      <c r="E420" s="133"/>
      <c r="F420" s="133"/>
      <c r="G420" s="133"/>
      <c r="H420" s="133"/>
      <c r="I420" s="133"/>
      <c r="J420" s="133"/>
      <c r="K420" s="140"/>
    </row>
    <row r="421" spans="1:30" ht="20" customHeight="1">
      <c r="A421" s="139">
        <f t="shared" si="75"/>
        <v>40</v>
      </c>
      <c r="B421" s="132" t="s">
        <v>212</v>
      </c>
      <c r="C421" s="133"/>
      <c r="D421" s="133"/>
      <c r="E421" s="133"/>
      <c r="F421" s="133"/>
      <c r="G421" s="133"/>
      <c r="H421" s="133"/>
      <c r="I421" s="133"/>
      <c r="J421" s="133"/>
      <c r="K421" s="140"/>
    </row>
    <row r="422" spans="1:30" ht="20" customHeight="1">
      <c r="A422" s="139">
        <f t="shared" si="75"/>
        <v>41</v>
      </c>
      <c r="B422" s="132" t="s">
        <v>214</v>
      </c>
      <c r="C422" s="133"/>
      <c r="D422" s="133"/>
      <c r="E422" s="133"/>
      <c r="F422" s="133"/>
      <c r="G422" s="133"/>
      <c r="H422" s="133"/>
      <c r="I422" s="133"/>
      <c r="J422" s="133"/>
      <c r="K422" s="140"/>
    </row>
    <row r="423" spans="1:30" ht="20" customHeight="1">
      <c r="A423" s="139">
        <f t="shared" si="75"/>
        <v>42</v>
      </c>
      <c r="B423" s="132" t="s">
        <v>18</v>
      </c>
      <c r="C423" s="133"/>
      <c r="D423" s="133"/>
      <c r="E423" s="133"/>
      <c r="F423" s="133"/>
      <c r="G423" s="133"/>
      <c r="H423" s="133"/>
      <c r="I423" s="133"/>
      <c r="J423" s="133"/>
      <c r="K423" s="140"/>
    </row>
    <row r="424" spans="1:30" ht="20" customHeight="1">
      <c r="A424" s="139">
        <f t="shared" si="75"/>
        <v>43</v>
      </c>
      <c r="B424" s="132" t="s">
        <v>553</v>
      </c>
      <c r="C424" s="133"/>
      <c r="D424" s="133"/>
      <c r="E424" s="133"/>
      <c r="F424" s="133"/>
      <c r="G424" s="133"/>
      <c r="H424" s="133"/>
      <c r="I424" s="133"/>
      <c r="J424" s="133"/>
      <c r="K424" s="140"/>
    </row>
    <row r="425" spans="1:30" ht="20" customHeight="1">
      <c r="A425" s="139">
        <f t="shared" si="75"/>
        <v>44</v>
      </c>
      <c r="B425" s="132" t="s">
        <v>217</v>
      </c>
      <c r="C425" s="133"/>
      <c r="D425" s="133"/>
      <c r="E425" s="133"/>
      <c r="F425" s="133"/>
      <c r="G425" s="133"/>
      <c r="H425" s="133"/>
      <c r="I425" s="133"/>
      <c r="J425" s="133"/>
      <c r="K425" s="140"/>
    </row>
    <row r="426" spans="1:30" ht="20" customHeight="1">
      <c r="A426" s="139">
        <f t="shared" si="75"/>
        <v>45</v>
      </c>
      <c r="B426" s="132" t="s">
        <v>270</v>
      </c>
      <c r="C426" s="133"/>
      <c r="D426" s="133"/>
      <c r="E426" s="133"/>
      <c r="F426" s="133"/>
      <c r="G426" s="133"/>
      <c r="H426" s="133"/>
      <c r="I426" s="133"/>
      <c r="J426" s="133"/>
      <c r="K426" s="140"/>
    </row>
    <row r="427" spans="1:30" ht="20" customHeight="1">
      <c r="A427" s="139">
        <f t="shared" si="75"/>
        <v>46</v>
      </c>
      <c r="B427" s="132" t="s">
        <v>272</v>
      </c>
      <c r="C427" s="133"/>
      <c r="D427" s="133"/>
      <c r="E427" s="133"/>
      <c r="F427" s="133"/>
      <c r="G427" s="133"/>
      <c r="H427" s="133"/>
      <c r="I427" s="133"/>
      <c r="J427" s="133"/>
      <c r="K427" s="140"/>
    </row>
    <row r="428" spans="1:30" ht="20" customHeight="1">
      <c r="A428" s="139">
        <f t="shared" si="75"/>
        <v>47</v>
      </c>
      <c r="B428" s="132" t="s">
        <v>288</v>
      </c>
      <c r="C428" s="133"/>
      <c r="D428" s="133"/>
      <c r="E428" s="133"/>
      <c r="F428" s="133"/>
      <c r="G428" s="133"/>
      <c r="H428" s="133"/>
      <c r="I428" s="133"/>
      <c r="J428" s="133"/>
      <c r="K428" s="140"/>
    </row>
    <row r="429" spans="1:30" ht="20" customHeight="1">
      <c r="A429" s="139">
        <f t="shared" si="75"/>
        <v>48</v>
      </c>
      <c r="B429" s="132" t="s">
        <v>17</v>
      </c>
      <c r="C429" s="133"/>
      <c r="D429" s="133"/>
      <c r="E429" s="133"/>
      <c r="F429" s="133"/>
      <c r="G429" s="133"/>
      <c r="H429" s="133"/>
      <c r="I429" s="133"/>
      <c r="J429" s="133"/>
      <c r="K429" s="140"/>
    </row>
    <row r="430" spans="1:30" ht="41" customHeight="1" thickBot="1">
      <c r="A430" s="139">
        <f t="shared" si="75"/>
        <v>49</v>
      </c>
      <c r="B430" s="141" t="s">
        <v>40</v>
      </c>
      <c r="C430" s="142"/>
      <c r="D430" s="142"/>
      <c r="E430" s="142"/>
      <c r="F430" s="142"/>
      <c r="G430" s="142"/>
      <c r="H430" s="142"/>
      <c r="I430" s="142"/>
      <c r="J430" s="142"/>
      <c r="K430" s="143"/>
      <c r="U430" s="379" t="s">
        <v>398</v>
      </c>
      <c r="V430" s="379"/>
      <c r="W430" s="379"/>
      <c r="X430" s="379"/>
      <c r="Y430" s="379"/>
      <c r="Z430" s="379"/>
    </row>
    <row r="431" spans="1:30" ht="20" customHeight="1" thickBot="1"/>
    <row r="432" spans="1:30" ht="36" customHeight="1" thickBot="1">
      <c r="D432" s="375" t="s">
        <v>397</v>
      </c>
      <c r="E432" s="375"/>
      <c r="F432" s="375"/>
      <c r="G432" s="375"/>
      <c r="H432" s="375"/>
      <c r="Q432" s="223"/>
      <c r="R432" s="224"/>
      <c r="S432" s="373" t="s">
        <v>142</v>
      </c>
      <c r="T432" s="373"/>
      <c r="U432" s="373"/>
      <c r="V432" s="373" t="s">
        <v>22</v>
      </c>
      <c r="W432" s="373"/>
      <c r="X432" s="373"/>
      <c r="Y432" s="373" t="s">
        <v>23</v>
      </c>
      <c r="Z432" s="373"/>
      <c r="AA432" s="373"/>
      <c r="AB432" s="373" t="s">
        <v>26</v>
      </c>
      <c r="AC432" s="373"/>
      <c r="AD432" s="374"/>
    </row>
    <row r="433" spans="1:34" ht="20" customHeight="1">
      <c r="A433" s="335" t="s">
        <v>145</v>
      </c>
      <c r="B433" s="199" t="s">
        <v>77</v>
      </c>
      <c r="C433" s="200" t="s">
        <v>142</v>
      </c>
      <c r="D433" s="200" t="s">
        <v>21</v>
      </c>
      <c r="E433" s="200" t="s">
        <v>127</v>
      </c>
      <c r="F433" s="200" t="s">
        <v>22</v>
      </c>
      <c r="G433" s="200" t="s">
        <v>21</v>
      </c>
      <c r="H433" s="200" t="s">
        <v>128</v>
      </c>
      <c r="I433" s="200" t="s">
        <v>23</v>
      </c>
      <c r="J433" s="200" t="s">
        <v>21</v>
      </c>
      <c r="K433" s="200" t="s">
        <v>129</v>
      </c>
      <c r="L433" s="200" t="s">
        <v>26</v>
      </c>
      <c r="M433" s="200" t="s">
        <v>21</v>
      </c>
      <c r="N433" s="201" t="s">
        <v>130</v>
      </c>
      <c r="Q433" s="225" t="s">
        <v>145</v>
      </c>
      <c r="R433" s="71" t="s">
        <v>77</v>
      </c>
      <c r="S433" s="226" t="s">
        <v>314</v>
      </c>
      <c r="T433" s="226" t="s">
        <v>395</v>
      </c>
      <c r="U433" s="226" t="s">
        <v>396</v>
      </c>
      <c r="V433" s="226" t="s">
        <v>394</v>
      </c>
      <c r="W433" s="226" t="s">
        <v>395</v>
      </c>
      <c r="X433" s="226" t="s">
        <v>396</v>
      </c>
      <c r="Y433" s="226" t="s">
        <v>394</v>
      </c>
      <c r="Z433" s="226" t="s">
        <v>395</v>
      </c>
      <c r="AA433" s="226" t="s">
        <v>396</v>
      </c>
      <c r="AB433" s="226" t="s">
        <v>394</v>
      </c>
      <c r="AC433" s="226" t="s">
        <v>395</v>
      </c>
      <c r="AD433" s="227" t="s">
        <v>396</v>
      </c>
      <c r="AF433" s="199" t="s">
        <v>145</v>
      </c>
      <c r="AG433" s="200" t="s">
        <v>77</v>
      </c>
      <c r="AH433" s="201" t="s">
        <v>541</v>
      </c>
    </row>
    <row r="434" spans="1:34" ht="20" customHeight="1">
      <c r="A434" s="336">
        <v>1</v>
      </c>
      <c r="B434" s="338"/>
      <c r="C434" s="62"/>
      <c r="D434" s="62"/>
      <c r="E434" s="62">
        <f>+C434+D434</f>
        <v>0</v>
      </c>
      <c r="F434" s="62">
        <v>0</v>
      </c>
      <c r="G434" s="62">
        <v>0</v>
      </c>
      <c r="H434" s="62">
        <f>+F434+G434</f>
        <v>0</v>
      </c>
      <c r="I434" s="62"/>
      <c r="J434" s="62"/>
      <c r="K434" s="62">
        <f>+I434+J434</f>
        <v>0</v>
      </c>
      <c r="L434" s="62"/>
      <c r="M434" s="62"/>
      <c r="N434" s="203">
        <f>+L434+M434</f>
        <v>0</v>
      </c>
      <c r="Q434" s="202">
        <v>1</v>
      </c>
      <c r="R434" s="92"/>
      <c r="S434" s="214"/>
      <c r="T434" s="214"/>
      <c r="U434" s="214"/>
      <c r="V434" s="214"/>
      <c r="W434" s="214"/>
      <c r="X434" s="214"/>
      <c r="Y434" s="214"/>
      <c r="Z434" s="214"/>
      <c r="AA434" s="214"/>
      <c r="AB434" s="214"/>
      <c r="AC434" s="214"/>
      <c r="AD434" s="217"/>
      <c r="AF434" s="202">
        <v>1</v>
      </c>
      <c r="AG434" s="92"/>
      <c r="AH434" s="324"/>
    </row>
    <row r="435" spans="1:34" ht="20" customHeight="1">
      <c r="A435" s="336">
        <f t="shared" ref="A435:A449" si="76">+A434+1</f>
        <v>2</v>
      </c>
      <c r="B435" s="338" t="s">
        <v>78</v>
      </c>
      <c r="C435" s="62"/>
      <c r="D435" s="62"/>
      <c r="E435" s="62"/>
      <c r="F435" s="62">
        <v>0</v>
      </c>
      <c r="G435" s="62"/>
      <c r="H435" s="62">
        <f>+F435+G435</f>
        <v>0</v>
      </c>
      <c r="I435" s="62">
        <f>AA435</f>
        <v>0</v>
      </c>
      <c r="J435" s="62">
        <f>+I435*0/100</f>
        <v>0</v>
      </c>
      <c r="K435" s="62">
        <f>+I435+J435</f>
        <v>0</v>
      </c>
      <c r="L435" s="332">
        <f>AD435</f>
        <v>4</v>
      </c>
      <c r="M435" s="62">
        <f>+L435*0/100</f>
        <v>0</v>
      </c>
      <c r="N435" s="203">
        <f>+L435+M435</f>
        <v>4</v>
      </c>
      <c r="Q435" s="202">
        <f t="shared" ref="Q435:Q449" si="77">+Q434+1</f>
        <v>2</v>
      </c>
      <c r="R435" s="92" t="s">
        <v>78</v>
      </c>
      <c r="S435" s="214"/>
      <c r="T435" s="214"/>
      <c r="U435" s="214"/>
      <c r="V435" s="214"/>
      <c r="W435" s="214"/>
      <c r="X435" s="214"/>
      <c r="Y435" s="214"/>
      <c r="Z435" s="214"/>
      <c r="AA435" s="214"/>
      <c r="AB435" s="218">
        <v>500</v>
      </c>
      <c r="AC435" s="218">
        <v>168</v>
      </c>
      <c r="AD435" s="333">
        <v>4</v>
      </c>
      <c r="AF435" s="202">
        <f t="shared" ref="AF435:AF449" si="78">+AF434+1</f>
        <v>2</v>
      </c>
      <c r="AG435" s="92" t="s">
        <v>78</v>
      </c>
      <c r="AH435" s="324">
        <v>0.05</v>
      </c>
    </row>
    <row r="436" spans="1:34" ht="20" customHeight="1">
      <c r="A436" s="336">
        <f t="shared" si="76"/>
        <v>3</v>
      </c>
      <c r="B436" s="338" t="s">
        <v>116</v>
      </c>
      <c r="C436" s="62">
        <v>0</v>
      </c>
      <c r="D436" s="62">
        <f>+C436*0/100</f>
        <v>0</v>
      </c>
      <c r="E436" s="62">
        <f>+C436+D436</f>
        <v>0</v>
      </c>
      <c r="F436" s="62">
        <v>0</v>
      </c>
      <c r="G436" s="62">
        <f>+F436*0/100</f>
        <v>0</v>
      </c>
      <c r="H436" s="62">
        <f>+F436+G436</f>
        <v>0</v>
      </c>
      <c r="I436" s="62">
        <f t="shared" ref="I436:I448" si="79">AA436</f>
        <v>0</v>
      </c>
      <c r="J436" s="62"/>
      <c r="K436" s="62">
        <f>+I436+J436</f>
        <v>0</v>
      </c>
      <c r="L436" s="332">
        <f t="shared" ref="L436:L449" si="80">AD436</f>
        <v>17</v>
      </c>
      <c r="M436" s="62">
        <f>+L436*0/100</f>
        <v>0</v>
      </c>
      <c r="N436" s="203">
        <f>+L436+M436</f>
        <v>17</v>
      </c>
      <c r="Q436" s="202">
        <f t="shared" si="77"/>
        <v>3</v>
      </c>
      <c r="R436" s="92" t="s">
        <v>116</v>
      </c>
      <c r="S436" s="219"/>
      <c r="T436" s="214"/>
      <c r="U436" s="214"/>
      <c r="V436" s="214"/>
      <c r="W436" s="214"/>
      <c r="X436" s="214"/>
      <c r="Y436" s="214"/>
      <c r="Z436" s="214"/>
      <c r="AA436" s="214"/>
      <c r="AB436" s="218">
        <v>331</v>
      </c>
      <c r="AC436" s="218">
        <v>20</v>
      </c>
      <c r="AD436" s="333">
        <v>17</v>
      </c>
      <c r="AF436" s="202">
        <f t="shared" si="78"/>
        <v>3</v>
      </c>
      <c r="AG436" s="92" t="s">
        <v>116</v>
      </c>
      <c r="AH436" s="324">
        <v>0.05</v>
      </c>
    </row>
    <row r="437" spans="1:34" ht="20" customHeight="1">
      <c r="A437" s="336">
        <f t="shared" si="76"/>
        <v>4</v>
      </c>
      <c r="B437" s="338" t="s">
        <v>364</v>
      </c>
      <c r="C437" s="62"/>
      <c r="D437" s="62"/>
      <c r="E437" s="62"/>
      <c r="F437" s="62"/>
      <c r="G437" s="62"/>
      <c r="H437" s="62"/>
      <c r="I437" s="62">
        <f t="shared" si="79"/>
        <v>33</v>
      </c>
      <c r="J437" s="62"/>
      <c r="K437" s="62"/>
      <c r="L437" s="332">
        <f t="shared" si="80"/>
        <v>8</v>
      </c>
      <c r="M437" s="62"/>
      <c r="N437" s="203"/>
      <c r="Q437" s="202">
        <f t="shared" si="77"/>
        <v>4</v>
      </c>
      <c r="R437" s="92" t="s">
        <v>364</v>
      </c>
      <c r="S437" s="214"/>
      <c r="T437" s="214"/>
      <c r="U437" s="214"/>
      <c r="V437" s="214"/>
      <c r="W437" s="214"/>
      <c r="X437" s="214"/>
      <c r="Y437" s="214">
        <v>1960</v>
      </c>
      <c r="Z437" s="214">
        <v>60</v>
      </c>
      <c r="AA437" s="330">
        <v>33</v>
      </c>
      <c r="AB437" s="218">
        <v>450</v>
      </c>
      <c r="AC437" s="218">
        <v>60</v>
      </c>
      <c r="AD437" s="333">
        <v>8</v>
      </c>
      <c r="AF437" s="202">
        <f t="shared" si="78"/>
        <v>4</v>
      </c>
      <c r="AG437" s="92" t="s">
        <v>364</v>
      </c>
      <c r="AH437" s="324">
        <v>0.05</v>
      </c>
    </row>
    <row r="438" spans="1:34" ht="20" customHeight="1">
      <c r="A438" s="336">
        <f t="shared" si="76"/>
        <v>5</v>
      </c>
      <c r="B438" s="338" t="s">
        <v>366</v>
      </c>
      <c r="C438" s="62">
        <v>0.6</v>
      </c>
      <c r="D438" s="62">
        <v>0</v>
      </c>
      <c r="E438" s="62">
        <v>0.6</v>
      </c>
      <c r="F438" s="62">
        <v>0</v>
      </c>
      <c r="G438" s="62"/>
      <c r="H438" s="62">
        <v>0</v>
      </c>
      <c r="I438" s="62">
        <f t="shared" si="79"/>
        <v>8</v>
      </c>
      <c r="J438" s="62">
        <v>0</v>
      </c>
      <c r="K438" s="62">
        <v>0</v>
      </c>
      <c r="L438" s="332">
        <f t="shared" si="80"/>
        <v>0</v>
      </c>
      <c r="M438" s="62">
        <v>0</v>
      </c>
      <c r="N438" s="203">
        <v>3</v>
      </c>
      <c r="Q438" s="202">
        <f t="shared" si="77"/>
        <v>5</v>
      </c>
      <c r="R438" s="92" t="s">
        <v>366</v>
      </c>
      <c r="S438" s="214"/>
      <c r="T438" s="214"/>
      <c r="U438" s="214"/>
      <c r="V438" s="214"/>
      <c r="W438" s="214"/>
      <c r="X438" s="214"/>
      <c r="Y438" s="214">
        <v>750</v>
      </c>
      <c r="Z438" s="214">
        <v>100</v>
      </c>
      <c r="AA438" s="330">
        <v>8</v>
      </c>
      <c r="AB438" s="218"/>
      <c r="AC438" s="218"/>
      <c r="AD438" s="331"/>
      <c r="AF438" s="202">
        <f t="shared" si="78"/>
        <v>5</v>
      </c>
      <c r="AG438" s="92" t="s">
        <v>366</v>
      </c>
      <c r="AH438" s="324">
        <v>0.05</v>
      </c>
    </row>
    <row r="439" spans="1:34" ht="20" customHeight="1">
      <c r="A439" s="336">
        <f t="shared" si="76"/>
        <v>6</v>
      </c>
      <c r="B439" s="338" t="s">
        <v>83</v>
      </c>
      <c r="C439" s="62">
        <v>0</v>
      </c>
      <c r="D439" s="62">
        <f>+C439*0/100</f>
        <v>0</v>
      </c>
      <c r="E439" s="62">
        <f>+C439+D439</f>
        <v>0</v>
      </c>
      <c r="F439" s="62">
        <v>0</v>
      </c>
      <c r="G439" s="62">
        <f>+F439*0/100</f>
        <v>0</v>
      </c>
      <c r="H439" s="62">
        <f>+F439+G439</f>
        <v>0</v>
      </c>
      <c r="I439" s="62">
        <f t="shared" si="79"/>
        <v>33</v>
      </c>
      <c r="J439" s="62">
        <f>+I439*0/100</f>
        <v>0</v>
      </c>
      <c r="K439" s="62">
        <f>+I439+J439</f>
        <v>33</v>
      </c>
      <c r="L439" s="332">
        <f t="shared" si="80"/>
        <v>8</v>
      </c>
      <c r="M439" s="62">
        <f>+L439*0/100</f>
        <v>0</v>
      </c>
      <c r="N439" s="203">
        <f>+L439+M439</f>
        <v>8</v>
      </c>
      <c r="Q439" s="202">
        <f t="shared" si="77"/>
        <v>6</v>
      </c>
      <c r="R439" s="92" t="s">
        <v>83</v>
      </c>
      <c r="S439" s="214"/>
      <c r="T439" s="214"/>
      <c r="U439" s="214"/>
      <c r="V439" s="214"/>
      <c r="W439" s="214"/>
      <c r="X439" s="214"/>
      <c r="Y439" s="214">
        <v>1960</v>
      </c>
      <c r="Z439" s="214">
        <v>60</v>
      </c>
      <c r="AA439" s="330">
        <v>33</v>
      </c>
      <c r="AB439" s="218">
        <v>450</v>
      </c>
      <c r="AC439" s="218">
        <v>60</v>
      </c>
      <c r="AD439" s="331">
        <v>8</v>
      </c>
      <c r="AF439" s="202">
        <f t="shared" si="78"/>
        <v>6</v>
      </c>
      <c r="AG439" s="92" t="s">
        <v>83</v>
      </c>
      <c r="AH439" s="324">
        <v>0.05</v>
      </c>
    </row>
    <row r="440" spans="1:34" ht="20" customHeight="1">
      <c r="A440" s="336">
        <f t="shared" si="76"/>
        <v>7</v>
      </c>
      <c r="B440" s="338" t="s">
        <v>84</v>
      </c>
      <c r="C440" s="62">
        <v>0</v>
      </c>
      <c r="D440" s="62">
        <f>+C440*0/100</f>
        <v>0</v>
      </c>
      <c r="E440" s="62">
        <f>+C440+D440</f>
        <v>0</v>
      </c>
      <c r="F440" s="62">
        <v>0</v>
      </c>
      <c r="G440" s="62">
        <f>+F440*0/100</f>
        <v>0</v>
      </c>
      <c r="H440" s="62">
        <f>+F440+G440</f>
        <v>0</v>
      </c>
      <c r="I440" s="62">
        <f t="shared" si="79"/>
        <v>0</v>
      </c>
      <c r="J440" s="62">
        <f>+I440*0/100</f>
        <v>0</v>
      </c>
      <c r="K440" s="62">
        <f>+I440+J440</f>
        <v>0</v>
      </c>
      <c r="L440" s="332">
        <f t="shared" si="80"/>
        <v>0</v>
      </c>
      <c r="M440" s="62">
        <f>+L440*0/100</f>
        <v>0</v>
      </c>
      <c r="N440" s="203">
        <f>+L440+M440</f>
        <v>0</v>
      </c>
      <c r="Q440" s="202">
        <f t="shared" si="77"/>
        <v>7</v>
      </c>
      <c r="R440" s="92" t="s">
        <v>84</v>
      </c>
      <c r="S440" s="214"/>
      <c r="T440" s="214"/>
      <c r="U440" s="214"/>
      <c r="V440" s="214"/>
      <c r="W440" s="214"/>
      <c r="X440" s="214"/>
      <c r="Y440" s="214"/>
      <c r="Z440" s="214"/>
      <c r="AA440" s="330"/>
      <c r="AB440" s="218"/>
      <c r="AC440" s="218"/>
      <c r="AD440" s="331"/>
      <c r="AF440" s="202">
        <f t="shared" si="78"/>
        <v>7</v>
      </c>
      <c r="AG440" s="92" t="s">
        <v>84</v>
      </c>
      <c r="AH440" s="324"/>
    </row>
    <row r="441" spans="1:34" ht="20" customHeight="1">
      <c r="A441" s="336">
        <f t="shared" si="76"/>
        <v>8</v>
      </c>
      <c r="B441" s="338" t="s">
        <v>85</v>
      </c>
      <c r="C441" s="62">
        <v>0</v>
      </c>
      <c r="D441" s="62">
        <f>+C441*0/100</f>
        <v>0</v>
      </c>
      <c r="E441" s="62">
        <f>+C441+D441</f>
        <v>0</v>
      </c>
      <c r="F441" s="62">
        <v>0</v>
      </c>
      <c r="G441" s="62">
        <f>+F441*0/100</f>
        <v>0</v>
      </c>
      <c r="H441" s="62">
        <f>+F441+G441</f>
        <v>0</v>
      </c>
      <c r="I441" s="62">
        <f t="shared" si="79"/>
        <v>0</v>
      </c>
      <c r="J441" s="62">
        <f>+I441*0/100</f>
        <v>0</v>
      </c>
      <c r="K441" s="62">
        <f>+I441+J441</f>
        <v>0</v>
      </c>
      <c r="L441" s="332">
        <f t="shared" si="80"/>
        <v>40</v>
      </c>
      <c r="M441" s="62">
        <f>+L441*0/100</f>
        <v>0</v>
      </c>
      <c r="N441" s="203">
        <f>+L441+M441</f>
        <v>40</v>
      </c>
      <c r="Q441" s="202">
        <f t="shared" si="77"/>
        <v>8</v>
      </c>
      <c r="R441" s="92" t="s">
        <v>85</v>
      </c>
      <c r="S441" s="214"/>
      <c r="T441" s="214"/>
      <c r="U441" s="214"/>
      <c r="V441" s="214"/>
      <c r="W441" s="214"/>
      <c r="X441" s="214"/>
      <c r="Y441" s="214"/>
      <c r="Z441" s="214"/>
      <c r="AA441" s="330"/>
      <c r="AB441" s="218">
        <v>800</v>
      </c>
      <c r="AC441" s="218">
        <v>20</v>
      </c>
      <c r="AD441" s="331">
        <v>40</v>
      </c>
      <c r="AF441" s="202">
        <f t="shared" si="78"/>
        <v>8</v>
      </c>
      <c r="AG441" s="92" t="s">
        <v>85</v>
      </c>
      <c r="AH441" s="324"/>
    </row>
    <row r="442" spans="1:34" ht="20" customHeight="1">
      <c r="A442" s="336">
        <f t="shared" si="76"/>
        <v>9</v>
      </c>
      <c r="B442" s="338" t="s">
        <v>404</v>
      </c>
      <c r="C442" s="62">
        <v>0</v>
      </c>
      <c r="D442" s="62">
        <v>0</v>
      </c>
      <c r="E442" s="62">
        <v>0</v>
      </c>
      <c r="F442" s="62">
        <v>0</v>
      </c>
      <c r="G442" s="62">
        <v>0</v>
      </c>
      <c r="H442" s="62">
        <v>0</v>
      </c>
      <c r="I442" s="62">
        <f t="shared" si="79"/>
        <v>0</v>
      </c>
      <c r="J442" s="62"/>
      <c r="K442" s="62"/>
      <c r="L442" s="332">
        <f t="shared" si="80"/>
        <v>4</v>
      </c>
      <c r="M442" s="62"/>
      <c r="N442" s="203">
        <f>AD442</f>
        <v>4</v>
      </c>
      <c r="Q442" s="202">
        <f t="shared" si="77"/>
        <v>9</v>
      </c>
      <c r="R442" s="92" t="s">
        <v>404</v>
      </c>
      <c r="S442" s="214"/>
      <c r="T442" s="214"/>
      <c r="U442" s="214"/>
      <c r="V442" s="214"/>
      <c r="W442" s="214"/>
      <c r="X442" s="214"/>
      <c r="Y442" s="214"/>
      <c r="Z442" s="214"/>
      <c r="AA442" s="330"/>
      <c r="AB442" s="218">
        <v>500</v>
      </c>
      <c r="AC442" s="218">
        <v>168</v>
      </c>
      <c r="AD442" s="331">
        <v>4</v>
      </c>
      <c r="AF442" s="202">
        <f t="shared" si="78"/>
        <v>9</v>
      </c>
      <c r="AG442" s="92" t="s">
        <v>93</v>
      </c>
      <c r="AH442" s="324"/>
    </row>
    <row r="443" spans="1:34" ht="20" customHeight="1">
      <c r="A443" s="336">
        <f t="shared" si="76"/>
        <v>10</v>
      </c>
      <c r="B443" s="339" t="s">
        <v>93</v>
      </c>
      <c r="C443" s="62">
        <v>0</v>
      </c>
      <c r="D443" s="62">
        <f t="shared" ref="D443:D447" si="81">+C443*0/100</f>
        <v>0</v>
      </c>
      <c r="E443" s="62">
        <f t="shared" ref="E443:E447" si="82">+C443+D443</f>
        <v>0</v>
      </c>
      <c r="F443" s="62">
        <v>0</v>
      </c>
      <c r="G443" s="62">
        <f t="shared" ref="G443:G447" si="83">+F443*0/100</f>
        <v>0</v>
      </c>
      <c r="H443" s="62">
        <f t="shared" ref="H443:H447" si="84">+F443+G443</f>
        <v>0</v>
      </c>
      <c r="I443" s="62">
        <f t="shared" si="79"/>
        <v>20</v>
      </c>
      <c r="J443" s="62">
        <f>+I443*0/100</f>
        <v>0</v>
      </c>
      <c r="K443" s="62">
        <f t="shared" ref="K443:K447" si="85">+I443+J443</f>
        <v>20</v>
      </c>
      <c r="L443" s="332">
        <f t="shared" si="80"/>
        <v>2</v>
      </c>
      <c r="M443" s="62">
        <f t="shared" ref="M443:M447" si="86">+L443*0/100</f>
        <v>0</v>
      </c>
      <c r="N443" s="203">
        <f t="shared" ref="N443:N447" si="87">+L443+M443</f>
        <v>2</v>
      </c>
      <c r="Q443" s="202">
        <f t="shared" si="77"/>
        <v>10</v>
      </c>
      <c r="R443" s="334" t="s">
        <v>93</v>
      </c>
      <c r="S443" s="214"/>
      <c r="T443" s="214"/>
      <c r="U443" s="214"/>
      <c r="V443" s="214"/>
      <c r="W443" s="214"/>
      <c r="X443" s="214"/>
      <c r="Y443" s="214">
        <v>600</v>
      </c>
      <c r="Z443" s="214">
        <v>30</v>
      </c>
      <c r="AA443" s="330">
        <v>20</v>
      </c>
      <c r="AB443" s="218">
        <v>45</v>
      </c>
      <c r="AC443" s="218">
        <v>30</v>
      </c>
      <c r="AD443" s="331">
        <v>2</v>
      </c>
      <c r="AF443" s="202">
        <f t="shared" si="78"/>
        <v>10</v>
      </c>
      <c r="AG443" s="92" t="s">
        <v>100</v>
      </c>
      <c r="AH443" s="324"/>
    </row>
    <row r="444" spans="1:34" ht="20" customHeight="1">
      <c r="A444" s="336">
        <f t="shared" si="76"/>
        <v>11</v>
      </c>
      <c r="B444" s="338" t="s">
        <v>100</v>
      </c>
      <c r="C444" s="62">
        <v>0</v>
      </c>
      <c r="D444" s="62">
        <f t="shared" si="81"/>
        <v>0</v>
      </c>
      <c r="E444" s="62">
        <f t="shared" si="82"/>
        <v>0</v>
      </c>
      <c r="F444" s="62">
        <v>0</v>
      </c>
      <c r="G444" s="62">
        <f t="shared" si="83"/>
        <v>0</v>
      </c>
      <c r="H444" s="62">
        <f t="shared" si="84"/>
        <v>0</v>
      </c>
      <c r="I444" s="62">
        <f t="shared" si="79"/>
        <v>0</v>
      </c>
      <c r="J444" s="62">
        <f>+I444*0/100</f>
        <v>0</v>
      </c>
      <c r="K444" s="62">
        <f t="shared" si="85"/>
        <v>0</v>
      </c>
      <c r="L444" s="332">
        <f t="shared" si="80"/>
        <v>0</v>
      </c>
      <c r="M444" s="62">
        <f t="shared" si="86"/>
        <v>0</v>
      </c>
      <c r="N444" s="203">
        <f t="shared" si="87"/>
        <v>0</v>
      </c>
      <c r="Q444" s="202">
        <f t="shared" si="77"/>
        <v>11</v>
      </c>
      <c r="R444" s="92" t="s">
        <v>100</v>
      </c>
      <c r="S444" s="214"/>
      <c r="T444" s="214"/>
      <c r="U444" s="214"/>
      <c r="V444" s="214"/>
      <c r="W444" s="214"/>
      <c r="X444" s="214"/>
      <c r="Y444" s="214"/>
      <c r="Z444" s="214"/>
      <c r="AA444" s="330"/>
      <c r="AB444" s="218"/>
      <c r="AC444" s="218"/>
      <c r="AD444" s="331"/>
      <c r="AF444" s="202">
        <f t="shared" si="78"/>
        <v>11</v>
      </c>
      <c r="AG444" s="92" t="s">
        <v>546</v>
      </c>
      <c r="AH444" s="324">
        <v>0.05</v>
      </c>
    </row>
    <row r="445" spans="1:34" ht="20" customHeight="1">
      <c r="A445" s="336">
        <f t="shared" si="76"/>
        <v>12</v>
      </c>
      <c r="B445" s="338" t="s">
        <v>546</v>
      </c>
      <c r="C445" s="62">
        <v>0</v>
      </c>
      <c r="D445" s="62">
        <f t="shared" si="81"/>
        <v>0</v>
      </c>
      <c r="E445" s="62">
        <f t="shared" si="82"/>
        <v>0</v>
      </c>
      <c r="F445" s="62">
        <v>0</v>
      </c>
      <c r="G445" s="62">
        <f t="shared" si="83"/>
        <v>0</v>
      </c>
      <c r="H445" s="62">
        <f t="shared" si="84"/>
        <v>0</v>
      </c>
      <c r="I445" s="62">
        <f t="shared" si="79"/>
        <v>3500</v>
      </c>
      <c r="J445" s="62">
        <f>+I445*0/100</f>
        <v>0</v>
      </c>
      <c r="K445" s="62">
        <f t="shared" si="85"/>
        <v>3500</v>
      </c>
      <c r="L445" s="332">
        <f t="shared" si="80"/>
        <v>0</v>
      </c>
      <c r="M445" s="62">
        <f t="shared" si="86"/>
        <v>0</v>
      </c>
      <c r="N445" s="203">
        <f t="shared" si="87"/>
        <v>0</v>
      </c>
      <c r="Q445" s="202">
        <f t="shared" si="77"/>
        <v>12</v>
      </c>
      <c r="R445" s="92" t="s">
        <v>546</v>
      </c>
      <c r="S445" s="214"/>
      <c r="T445" s="214"/>
      <c r="U445" s="214"/>
      <c r="V445" s="214"/>
      <c r="W445" s="214"/>
      <c r="X445" s="214"/>
      <c r="Y445" s="214">
        <v>350</v>
      </c>
      <c r="Z445" s="214">
        <v>0.1</v>
      </c>
      <c r="AA445" s="330">
        <v>3500</v>
      </c>
      <c r="AB445" s="218"/>
      <c r="AC445" s="218"/>
      <c r="AD445" s="331"/>
      <c r="AF445" s="202">
        <f t="shared" si="78"/>
        <v>12</v>
      </c>
      <c r="AG445" s="93" t="s">
        <v>146</v>
      </c>
      <c r="AH445" s="324">
        <v>0.05</v>
      </c>
    </row>
    <row r="446" spans="1:34" ht="20" customHeight="1">
      <c r="A446" s="336">
        <f t="shared" si="76"/>
        <v>13</v>
      </c>
      <c r="B446" s="340" t="s">
        <v>146</v>
      </c>
      <c r="C446" s="62">
        <v>0</v>
      </c>
      <c r="D446" s="62">
        <f t="shared" si="81"/>
        <v>0</v>
      </c>
      <c r="E446" s="62">
        <f t="shared" si="82"/>
        <v>0</v>
      </c>
      <c r="F446" s="62">
        <v>0</v>
      </c>
      <c r="G446" s="62">
        <f t="shared" si="83"/>
        <v>0</v>
      </c>
      <c r="H446" s="62">
        <f t="shared" si="84"/>
        <v>0</v>
      </c>
      <c r="I446" s="62">
        <f t="shared" si="79"/>
        <v>0</v>
      </c>
      <c r="J446" s="62">
        <f>+I446*5/100</f>
        <v>0</v>
      </c>
      <c r="K446" s="62">
        <f t="shared" si="85"/>
        <v>0</v>
      </c>
      <c r="L446" s="332">
        <f t="shared" si="80"/>
        <v>0</v>
      </c>
      <c r="M446" s="62">
        <f t="shared" si="86"/>
        <v>0</v>
      </c>
      <c r="N446" s="203">
        <f t="shared" si="87"/>
        <v>0</v>
      </c>
      <c r="Q446" s="202">
        <f t="shared" si="77"/>
        <v>13</v>
      </c>
      <c r="R446" s="93" t="s">
        <v>146</v>
      </c>
      <c r="S446" s="214"/>
      <c r="T446" s="214"/>
      <c r="U446" s="214"/>
      <c r="V446" s="214"/>
      <c r="W446" s="214"/>
      <c r="X446" s="214"/>
      <c r="Y446" s="214"/>
      <c r="Z446" s="214"/>
      <c r="AA446" s="330"/>
      <c r="AB446" s="218"/>
      <c r="AC446" s="218"/>
      <c r="AD446" s="331"/>
      <c r="AF446" s="202">
        <f t="shared" si="78"/>
        <v>13</v>
      </c>
      <c r="AG446" s="92" t="s">
        <v>79</v>
      </c>
      <c r="AH446" s="324">
        <v>0.05</v>
      </c>
    </row>
    <row r="447" spans="1:34" ht="20" customHeight="1">
      <c r="A447" s="336">
        <f t="shared" si="76"/>
        <v>14</v>
      </c>
      <c r="B447" s="338" t="s">
        <v>79</v>
      </c>
      <c r="C447" s="62">
        <v>0</v>
      </c>
      <c r="D447" s="62">
        <f t="shared" si="81"/>
        <v>0</v>
      </c>
      <c r="E447" s="62">
        <f t="shared" si="82"/>
        <v>0</v>
      </c>
      <c r="F447" s="62">
        <v>0</v>
      </c>
      <c r="G447" s="62">
        <f t="shared" si="83"/>
        <v>0</v>
      </c>
      <c r="H447" s="62">
        <f t="shared" si="84"/>
        <v>0</v>
      </c>
      <c r="I447" s="62">
        <f t="shared" si="79"/>
        <v>0</v>
      </c>
      <c r="J447" s="62">
        <f>+I447*12/100</f>
        <v>0</v>
      </c>
      <c r="K447" s="62">
        <f t="shared" si="85"/>
        <v>0</v>
      </c>
      <c r="L447" s="332">
        <f t="shared" si="80"/>
        <v>0</v>
      </c>
      <c r="M447" s="62">
        <f t="shared" si="86"/>
        <v>0</v>
      </c>
      <c r="N447" s="203">
        <f t="shared" si="87"/>
        <v>0</v>
      </c>
      <c r="Q447" s="202">
        <f t="shared" si="77"/>
        <v>14</v>
      </c>
      <c r="R447" s="92" t="s">
        <v>79</v>
      </c>
      <c r="S447" s="214"/>
      <c r="T447" s="214"/>
      <c r="U447" s="214"/>
      <c r="V447" s="214"/>
      <c r="W447" s="214"/>
      <c r="X447" s="214"/>
      <c r="Y447" s="214"/>
      <c r="Z447" s="214"/>
      <c r="AA447" s="330"/>
      <c r="AB447" s="218"/>
      <c r="AC447" s="218"/>
      <c r="AD447" s="331"/>
      <c r="AF447" s="202">
        <f t="shared" si="78"/>
        <v>14</v>
      </c>
      <c r="AG447" s="92" t="s">
        <v>370</v>
      </c>
      <c r="AH447" s="324">
        <v>0.05</v>
      </c>
    </row>
    <row r="448" spans="1:34" ht="20" customHeight="1">
      <c r="A448" s="336">
        <f t="shared" si="76"/>
        <v>15</v>
      </c>
      <c r="B448" s="338" t="s">
        <v>370</v>
      </c>
      <c r="C448" s="62">
        <v>0</v>
      </c>
      <c r="D448" s="62">
        <f>+C448*0/100</f>
        <v>0</v>
      </c>
      <c r="E448" s="62">
        <f>+C448+D448</f>
        <v>0</v>
      </c>
      <c r="F448" s="62">
        <v>0</v>
      </c>
      <c r="G448" s="62">
        <f>+F448*0/100</f>
        <v>0</v>
      </c>
      <c r="H448" s="62">
        <f>+F448+G448</f>
        <v>0</v>
      </c>
      <c r="I448" s="62">
        <f t="shared" si="79"/>
        <v>9</v>
      </c>
      <c r="J448" s="62">
        <f>+I448*0/100</f>
        <v>0</v>
      </c>
      <c r="K448" s="62">
        <f>+I448+J448</f>
        <v>9</v>
      </c>
      <c r="L448" s="332">
        <f t="shared" si="80"/>
        <v>2</v>
      </c>
      <c r="M448" s="62">
        <f>+L448*0/100</f>
        <v>0</v>
      </c>
      <c r="N448" s="203">
        <f>+L448+M448</f>
        <v>2</v>
      </c>
      <c r="Q448" s="202">
        <f t="shared" si="77"/>
        <v>15</v>
      </c>
      <c r="R448" s="92" t="s">
        <v>370</v>
      </c>
      <c r="S448" s="214"/>
      <c r="T448" s="214"/>
      <c r="U448" s="214"/>
      <c r="V448" s="214"/>
      <c r="W448" s="214"/>
      <c r="X448" s="214"/>
      <c r="Y448" s="214">
        <v>2960</v>
      </c>
      <c r="Z448" s="214">
        <v>320</v>
      </c>
      <c r="AA448" s="330">
        <v>9</v>
      </c>
      <c r="AB448" s="218">
        <v>550</v>
      </c>
      <c r="AC448" s="218">
        <v>320</v>
      </c>
      <c r="AD448" s="331">
        <v>2</v>
      </c>
      <c r="AF448" s="202">
        <f t="shared" si="78"/>
        <v>15</v>
      </c>
      <c r="AG448" s="92" t="s">
        <v>404</v>
      </c>
      <c r="AH448" s="324">
        <v>0.05</v>
      </c>
    </row>
    <row r="449" spans="1:34" ht="20" customHeight="1" thickBot="1">
      <c r="A449" s="337">
        <f t="shared" si="76"/>
        <v>16</v>
      </c>
      <c r="B449" s="341" t="s">
        <v>552</v>
      </c>
      <c r="C449" s="206"/>
      <c r="D449" s="206"/>
      <c r="E449" s="206"/>
      <c r="F449" s="206"/>
      <c r="G449" s="206"/>
      <c r="H449" s="206"/>
      <c r="I449" s="206"/>
      <c r="J449" s="206"/>
      <c r="K449" s="206"/>
      <c r="L449" s="342">
        <f t="shared" si="80"/>
        <v>0</v>
      </c>
      <c r="M449" s="206"/>
      <c r="N449" s="207"/>
      <c r="Q449" s="204">
        <f t="shared" si="77"/>
        <v>16</v>
      </c>
      <c r="R449" s="205" t="s">
        <v>552</v>
      </c>
      <c r="S449" s="220"/>
      <c r="T449" s="220"/>
      <c r="U449" s="220"/>
      <c r="V449" s="220"/>
      <c r="W449" s="220"/>
      <c r="X449" s="220"/>
      <c r="Y449" s="220"/>
      <c r="Z449" s="220"/>
      <c r="AA449" s="220"/>
      <c r="AB449" s="221"/>
      <c r="AC449" s="221"/>
      <c r="AD449" s="222"/>
      <c r="AF449" s="204">
        <f t="shared" si="78"/>
        <v>16</v>
      </c>
      <c r="AG449" s="304" t="s">
        <v>552</v>
      </c>
      <c r="AH449" s="325"/>
    </row>
    <row r="452" spans="1:34" ht="36" customHeight="1" thickBot="1">
      <c r="E452" s="375" t="s">
        <v>399</v>
      </c>
      <c r="F452" s="375"/>
      <c r="G452" s="375"/>
      <c r="H452" s="375"/>
    </row>
    <row r="453" spans="1:34" ht="20" customHeight="1">
      <c r="A453" s="199" t="s">
        <v>283</v>
      </c>
      <c r="B453" s="200" t="s">
        <v>278</v>
      </c>
      <c r="C453" s="209" t="s">
        <v>552</v>
      </c>
      <c r="D453" s="209" t="s">
        <v>78</v>
      </c>
      <c r="E453" s="209" t="s">
        <v>116</v>
      </c>
      <c r="F453" s="209" t="s">
        <v>364</v>
      </c>
      <c r="G453" s="209" t="s">
        <v>366</v>
      </c>
      <c r="H453" s="209" t="s">
        <v>83</v>
      </c>
      <c r="I453" s="209" t="s">
        <v>84</v>
      </c>
      <c r="J453" s="208" t="s">
        <v>85</v>
      </c>
      <c r="K453" s="209"/>
      <c r="L453" s="208" t="s">
        <v>93</v>
      </c>
      <c r="M453" s="209" t="s">
        <v>100</v>
      </c>
      <c r="N453" s="209" t="s">
        <v>546</v>
      </c>
      <c r="O453" s="209" t="s">
        <v>146</v>
      </c>
      <c r="P453" s="209" t="s">
        <v>79</v>
      </c>
      <c r="Q453" s="209" t="s">
        <v>370</v>
      </c>
      <c r="R453" s="210" t="s">
        <v>404</v>
      </c>
    </row>
    <row r="454" spans="1:34" ht="20" customHeight="1">
      <c r="A454" s="211">
        <v>1</v>
      </c>
      <c r="B454" s="231" t="s">
        <v>113</v>
      </c>
      <c r="C454" s="228"/>
      <c r="D454" s="228">
        <v>0</v>
      </c>
      <c r="E454" s="228"/>
      <c r="F454" s="84"/>
      <c r="G454" s="228"/>
      <c r="H454" s="228"/>
      <c r="I454" s="228"/>
      <c r="J454" s="228"/>
      <c r="K454" s="228"/>
      <c r="L454" s="228"/>
      <c r="M454" s="228"/>
      <c r="N454" s="84">
        <v>0</v>
      </c>
      <c r="O454" s="228"/>
      <c r="P454" s="228"/>
      <c r="Q454" s="214"/>
      <c r="R454" s="329">
        <v>450</v>
      </c>
    </row>
    <row r="455" spans="1:34" ht="20" customHeight="1">
      <c r="A455" s="211">
        <f t="shared" ref="A455:A486" si="88">+A454+1</f>
        <v>2</v>
      </c>
      <c r="B455" s="231" t="s">
        <v>19</v>
      </c>
      <c r="C455" s="228"/>
      <c r="D455" s="228">
        <v>534</v>
      </c>
      <c r="E455" s="228"/>
      <c r="F455" s="84"/>
      <c r="G455" s="228"/>
      <c r="H455" s="228"/>
      <c r="I455" s="228"/>
      <c r="J455" s="228"/>
      <c r="K455" s="228"/>
      <c r="L455" s="228"/>
      <c r="M455" s="228"/>
      <c r="N455" s="84">
        <v>0</v>
      </c>
      <c r="O455" s="228"/>
      <c r="P455" s="228"/>
      <c r="Q455" s="214"/>
      <c r="R455" s="217"/>
    </row>
    <row r="456" spans="1:34" ht="20" customHeight="1">
      <c r="A456" s="211">
        <f t="shared" si="88"/>
        <v>3</v>
      </c>
      <c r="B456" s="231" t="s">
        <v>114</v>
      </c>
      <c r="C456" s="228"/>
      <c r="D456" s="228"/>
      <c r="E456" s="228"/>
      <c r="F456" s="84"/>
      <c r="G456" s="228"/>
      <c r="H456" s="228"/>
      <c r="I456" s="228"/>
      <c r="J456" s="228"/>
      <c r="K456" s="228"/>
      <c r="L456" s="228"/>
      <c r="M456" s="228"/>
      <c r="N456" s="84">
        <v>0</v>
      </c>
      <c r="O456" s="228"/>
      <c r="P456" s="228"/>
      <c r="Q456" s="214"/>
      <c r="R456" s="329">
        <v>280</v>
      </c>
    </row>
    <row r="457" spans="1:34" ht="20" customHeight="1">
      <c r="A457" s="211">
        <f t="shared" si="88"/>
        <v>4</v>
      </c>
      <c r="B457" s="231" t="s">
        <v>59</v>
      </c>
      <c r="C457" s="229"/>
      <c r="D457" s="228">
        <v>571.42857142857144</v>
      </c>
      <c r="E457" s="228"/>
      <c r="F457" s="84"/>
      <c r="G457" s="228"/>
      <c r="H457" s="228"/>
      <c r="I457" s="228"/>
      <c r="J457" s="228"/>
      <c r="K457" s="228"/>
      <c r="L457" s="228"/>
      <c r="M457" s="228"/>
      <c r="N457" s="84">
        <v>0</v>
      </c>
      <c r="O457" s="228"/>
      <c r="P457" s="228"/>
      <c r="Q457" s="214"/>
      <c r="R457" s="329">
        <v>650</v>
      </c>
    </row>
    <row r="458" spans="1:34" ht="20" customHeight="1">
      <c r="A458" s="211">
        <f t="shared" si="88"/>
        <v>5</v>
      </c>
      <c r="B458" s="231" t="s">
        <v>158</v>
      </c>
      <c r="C458" s="228"/>
      <c r="D458" s="228"/>
      <c r="E458" s="179">
        <v>135</v>
      </c>
      <c r="F458" s="84"/>
      <c r="G458" s="179">
        <v>165</v>
      </c>
      <c r="H458" s="228"/>
      <c r="I458" s="228"/>
      <c r="J458" s="228"/>
      <c r="K458" s="228"/>
      <c r="L458" s="228"/>
      <c r="M458" s="228"/>
      <c r="N458" s="84">
        <v>0</v>
      </c>
      <c r="O458" s="228">
        <v>152</v>
      </c>
      <c r="P458" s="179">
        <v>218</v>
      </c>
      <c r="Q458" s="214"/>
      <c r="R458" s="217"/>
    </row>
    <row r="459" spans="1:34" ht="20" customHeight="1">
      <c r="A459" s="211">
        <f t="shared" si="88"/>
        <v>6</v>
      </c>
      <c r="B459" s="231" t="s">
        <v>43</v>
      </c>
      <c r="C459" s="228"/>
      <c r="D459" s="328">
        <v>84</v>
      </c>
      <c r="E459" s="228"/>
      <c r="F459" s="84"/>
      <c r="G459" s="228"/>
      <c r="H459" s="228"/>
      <c r="I459" s="228"/>
      <c r="J459" s="228"/>
      <c r="K459" s="228"/>
      <c r="L459" s="228"/>
      <c r="M459" s="228"/>
      <c r="N459" s="84">
        <v>0</v>
      </c>
      <c r="O459" s="228"/>
      <c r="P459" s="228"/>
      <c r="Q459" s="214"/>
      <c r="R459" s="217"/>
    </row>
    <row r="460" spans="1:34" ht="20" customHeight="1">
      <c r="A460" s="211">
        <f t="shared" si="88"/>
        <v>7</v>
      </c>
      <c r="B460" s="231" t="s">
        <v>80</v>
      </c>
      <c r="C460" s="228"/>
      <c r="D460" s="228">
        <v>96</v>
      </c>
      <c r="E460" s="228"/>
      <c r="F460" s="84"/>
      <c r="G460" s="228"/>
      <c r="H460" s="228"/>
      <c r="I460" s="228"/>
      <c r="J460" s="228"/>
      <c r="K460" s="228"/>
      <c r="L460" s="228"/>
      <c r="M460" s="228"/>
      <c r="N460" s="84">
        <v>0</v>
      </c>
      <c r="O460" s="228"/>
      <c r="P460" s="228"/>
      <c r="Q460" s="214"/>
      <c r="R460" s="217"/>
    </row>
    <row r="461" spans="1:34" ht="20" customHeight="1">
      <c r="A461" s="211">
        <f t="shared" si="88"/>
        <v>8</v>
      </c>
      <c r="B461" s="231" t="s">
        <v>15</v>
      </c>
      <c r="C461" s="228"/>
      <c r="D461" s="228">
        <v>3095</v>
      </c>
      <c r="E461" s="228"/>
      <c r="F461" s="84"/>
      <c r="G461" s="179">
        <v>1950</v>
      </c>
      <c r="H461" s="228"/>
      <c r="I461" s="228"/>
      <c r="J461" s="228"/>
      <c r="K461" s="228"/>
      <c r="L461" s="228"/>
      <c r="M461" s="228"/>
      <c r="N461" s="84">
        <v>0</v>
      </c>
      <c r="O461" s="228"/>
      <c r="P461" s="228"/>
      <c r="Q461" s="214"/>
      <c r="R461" s="217"/>
    </row>
    <row r="462" spans="1:34" ht="20" customHeight="1">
      <c r="A462" s="211">
        <f t="shared" si="88"/>
        <v>9</v>
      </c>
      <c r="B462" s="231" t="s">
        <v>542</v>
      </c>
      <c r="C462" s="228"/>
      <c r="D462" s="228"/>
      <c r="E462" s="228"/>
      <c r="F462" s="84"/>
      <c r="G462" s="228"/>
      <c r="H462" s="228"/>
      <c r="I462" s="228"/>
      <c r="J462" s="228"/>
      <c r="K462" s="228"/>
      <c r="L462" s="228"/>
      <c r="M462" s="228"/>
      <c r="N462" s="84">
        <v>0</v>
      </c>
      <c r="O462" s="228"/>
      <c r="P462" s="228"/>
      <c r="Q462" s="214"/>
      <c r="R462" s="217"/>
    </row>
    <row r="463" spans="1:34" ht="20" customHeight="1">
      <c r="A463" s="211">
        <f t="shared" si="88"/>
        <v>10</v>
      </c>
      <c r="B463" s="231" t="s">
        <v>66</v>
      </c>
      <c r="C463" s="228"/>
      <c r="D463" s="228">
        <v>136</v>
      </c>
      <c r="E463" s="228"/>
      <c r="F463" s="84"/>
      <c r="G463" s="228"/>
      <c r="H463" s="228"/>
      <c r="I463" s="228"/>
      <c r="J463" s="228"/>
      <c r="K463" s="228"/>
      <c r="L463" s="228"/>
      <c r="M463" s="228"/>
      <c r="N463" s="84">
        <v>0</v>
      </c>
      <c r="O463" s="228"/>
      <c r="P463" s="228"/>
      <c r="Q463" s="214"/>
      <c r="R463" s="217"/>
    </row>
    <row r="464" spans="1:34" ht="20" customHeight="1">
      <c r="A464" s="211">
        <f t="shared" si="88"/>
        <v>11</v>
      </c>
      <c r="B464" s="231" t="s">
        <v>0</v>
      </c>
      <c r="C464" s="228"/>
      <c r="D464" s="228"/>
      <c r="E464" s="228"/>
      <c r="F464" s="180">
        <v>840</v>
      </c>
      <c r="G464" s="179">
        <v>820</v>
      </c>
      <c r="H464" s="228">
        <v>800</v>
      </c>
      <c r="I464" s="228"/>
      <c r="J464" s="228"/>
      <c r="K464" s="228"/>
      <c r="L464" s="228"/>
      <c r="M464" s="228"/>
      <c r="N464" s="84">
        <v>0</v>
      </c>
      <c r="O464" s="228">
        <v>750</v>
      </c>
      <c r="P464" s="228"/>
      <c r="Q464" s="214"/>
      <c r="R464" s="217"/>
    </row>
    <row r="465" spans="1:18" ht="20" customHeight="1">
      <c r="A465" s="211">
        <f t="shared" si="88"/>
        <v>12</v>
      </c>
      <c r="B465" s="231" t="s">
        <v>279</v>
      </c>
      <c r="C465" s="228"/>
      <c r="D465" s="228"/>
      <c r="E465" s="228"/>
      <c r="F465" s="84"/>
      <c r="G465" s="228"/>
      <c r="H465" s="228"/>
      <c r="I465" s="228"/>
      <c r="J465" s="228"/>
      <c r="K465" s="228"/>
      <c r="L465" s="228"/>
      <c r="M465" s="228"/>
      <c r="N465" s="84">
        <v>0</v>
      </c>
      <c r="O465" s="228">
        <v>710</v>
      </c>
      <c r="P465" s="228"/>
      <c r="Q465" s="214"/>
      <c r="R465" s="217"/>
    </row>
    <row r="466" spans="1:18" ht="20" customHeight="1">
      <c r="A466" s="211">
        <f t="shared" si="88"/>
        <v>13</v>
      </c>
      <c r="B466" s="231" t="s">
        <v>81</v>
      </c>
      <c r="C466" s="228"/>
      <c r="D466" s="228">
        <v>36</v>
      </c>
      <c r="E466" s="228"/>
      <c r="F466" s="84"/>
      <c r="G466" s="228"/>
      <c r="H466" s="228"/>
      <c r="I466" s="228"/>
      <c r="J466" s="228"/>
      <c r="K466" s="228"/>
      <c r="L466" s="228"/>
      <c r="M466" s="228"/>
      <c r="N466" s="84">
        <v>0</v>
      </c>
      <c r="O466" s="228"/>
      <c r="P466" s="228"/>
      <c r="Q466" s="214"/>
      <c r="R466" s="329">
        <v>50</v>
      </c>
    </row>
    <row r="467" spans="1:18" ht="20" customHeight="1">
      <c r="A467" s="211">
        <f t="shared" si="88"/>
        <v>14</v>
      </c>
      <c r="B467" s="231" t="s">
        <v>70</v>
      </c>
      <c r="C467" s="228"/>
      <c r="D467" s="228">
        <v>361</v>
      </c>
      <c r="E467" s="228"/>
      <c r="F467" s="84"/>
      <c r="G467" s="228"/>
      <c r="H467" s="228"/>
      <c r="I467" s="228"/>
      <c r="J467" s="228"/>
      <c r="K467" s="228"/>
      <c r="L467" s="228"/>
      <c r="M467" s="228"/>
      <c r="N467" s="84">
        <v>0</v>
      </c>
      <c r="O467" s="228"/>
      <c r="P467" s="228"/>
      <c r="Q467" s="214"/>
      <c r="R467" s="217"/>
    </row>
    <row r="468" spans="1:18" ht="20" customHeight="1">
      <c r="A468" s="211">
        <f t="shared" si="88"/>
        <v>15</v>
      </c>
      <c r="B468" s="231" t="s">
        <v>122</v>
      </c>
      <c r="C468" s="228"/>
      <c r="D468" s="228">
        <v>64.761904761904759</v>
      </c>
      <c r="E468" s="228"/>
      <c r="F468" s="84"/>
      <c r="G468" s="228"/>
      <c r="H468" s="228"/>
      <c r="I468" s="228"/>
      <c r="J468" s="228"/>
      <c r="K468" s="228"/>
      <c r="L468" s="228"/>
      <c r="M468" s="228"/>
      <c r="N468" s="84">
        <v>0</v>
      </c>
      <c r="O468" s="228"/>
      <c r="P468" s="228"/>
      <c r="Q468" s="214"/>
      <c r="R468" s="217"/>
    </row>
    <row r="469" spans="1:18" ht="20" customHeight="1">
      <c r="A469" s="211">
        <f t="shared" si="88"/>
        <v>16</v>
      </c>
      <c r="B469" s="231" t="s">
        <v>288</v>
      </c>
      <c r="C469" s="228"/>
      <c r="D469" s="228">
        <v>1104.7619047619048</v>
      </c>
      <c r="E469" s="228"/>
      <c r="F469" s="84"/>
      <c r="G469" s="228">
        <v>1000</v>
      </c>
      <c r="H469" s="228"/>
      <c r="I469" s="228"/>
      <c r="J469" s="228"/>
      <c r="K469" s="228"/>
      <c r="L469" s="230">
        <f>820/105*100</f>
        <v>780.95238095238096</v>
      </c>
      <c r="M469" s="228"/>
      <c r="N469" s="84">
        <v>0</v>
      </c>
      <c r="O469" s="228"/>
      <c r="P469" s="228"/>
      <c r="Q469" s="214"/>
      <c r="R469" s="217"/>
    </row>
    <row r="470" spans="1:18" ht="20" customHeight="1">
      <c r="A470" s="211">
        <f t="shared" si="88"/>
        <v>17</v>
      </c>
      <c r="B470" s="231" t="s">
        <v>82</v>
      </c>
      <c r="C470" s="228"/>
      <c r="D470" s="228">
        <v>248</v>
      </c>
      <c r="E470" s="228"/>
      <c r="F470" s="84"/>
      <c r="G470" s="228"/>
      <c r="H470" s="228"/>
      <c r="I470" s="228"/>
      <c r="J470" s="228"/>
      <c r="K470" s="228"/>
      <c r="L470" s="228"/>
      <c r="M470" s="228"/>
      <c r="N470" s="84">
        <v>0</v>
      </c>
      <c r="O470" s="228"/>
      <c r="P470" s="228"/>
      <c r="Q470" s="214"/>
      <c r="R470" s="217"/>
    </row>
    <row r="471" spans="1:18" ht="20" customHeight="1">
      <c r="A471" s="211">
        <f t="shared" si="88"/>
        <v>18</v>
      </c>
      <c r="B471" s="231" t="s">
        <v>543</v>
      </c>
      <c r="C471" s="228"/>
      <c r="D471" s="228"/>
      <c r="E471" s="228"/>
      <c r="F471" s="84"/>
      <c r="G471" s="179">
        <v>280</v>
      </c>
      <c r="H471" s="228">
        <v>450</v>
      </c>
      <c r="I471" s="228"/>
      <c r="J471" s="228"/>
      <c r="K471" s="228"/>
      <c r="L471" s="228"/>
      <c r="M471" s="228"/>
      <c r="N471" s="84">
        <v>0</v>
      </c>
      <c r="O471" s="228"/>
      <c r="P471" s="228"/>
      <c r="Q471" s="214"/>
      <c r="R471" s="217"/>
    </row>
    <row r="472" spans="1:18" ht="20" customHeight="1">
      <c r="A472" s="211">
        <f t="shared" si="88"/>
        <v>19</v>
      </c>
      <c r="B472" s="231" t="s">
        <v>308</v>
      </c>
      <c r="C472" s="228"/>
      <c r="D472" s="228"/>
      <c r="E472" s="228"/>
      <c r="F472" s="84"/>
      <c r="G472" s="179">
        <v>421</v>
      </c>
      <c r="H472" s="228"/>
      <c r="I472" s="228"/>
      <c r="J472" s="228"/>
      <c r="K472" s="228"/>
      <c r="L472" s="228"/>
      <c r="M472" s="228"/>
      <c r="N472" s="84"/>
      <c r="O472" s="228"/>
      <c r="P472" s="228"/>
      <c r="Q472" s="214"/>
      <c r="R472" s="217"/>
    </row>
    <row r="473" spans="1:18" ht="20" customHeight="1">
      <c r="A473" s="211">
        <f t="shared" si="88"/>
        <v>20</v>
      </c>
      <c r="B473" s="231" t="s">
        <v>34</v>
      </c>
      <c r="C473" s="228"/>
      <c r="D473" s="228"/>
      <c r="E473" s="228"/>
      <c r="F473" s="84"/>
      <c r="G473" s="228"/>
      <c r="H473" s="228"/>
      <c r="I473" s="228">
        <v>670</v>
      </c>
      <c r="J473" s="228"/>
      <c r="K473" s="228"/>
      <c r="L473" s="228"/>
      <c r="M473" s="228"/>
      <c r="N473" s="84">
        <v>0</v>
      </c>
      <c r="O473" s="228"/>
      <c r="P473" s="228"/>
      <c r="Q473" s="214"/>
      <c r="R473" s="329">
        <v>330</v>
      </c>
    </row>
    <row r="474" spans="1:18" ht="20" customHeight="1">
      <c r="A474" s="211">
        <f t="shared" si="88"/>
        <v>21</v>
      </c>
      <c r="B474" s="231" t="s">
        <v>1</v>
      </c>
      <c r="C474" s="228"/>
      <c r="D474" s="228">
        <v>838.09523809523807</v>
      </c>
      <c r="E474" s="228"/>
      <c r="F474" s="180">
        <v>1150</v>
      </c>
      <c r="G474" s="179">
        <v>850</v>
      </c>
      <c r="H474" s="228"/>
      <c r="I474" s="228"/>
      <c r="J474" s="228"/>
      <c r="K474" s="228"/>
      <c r="L474" s="228"/>
      <c r="M474" s="228"/>
      <c r="N474" s="84">
        <v>0</v>
      </c>
      <c r="O474" s="228">
        <v>1130</v>
      </c>
      <c r="P474" s="228"/>
      <c r="Q474" s="214"/>
      <c r="R474" s="217"/>
    </row>
    <row r="475" spans="1:18" ht="20" customHeight="1">
      <c r="A475" s="211">
        <f t="shared" si="88"/>
        <v>22</v>
      </c>
      <c r="B475" s="231" t="s">
        <v>2</v>
      </c>
      <c r="C475" s="228"/>
      <c r="D475" s="228">
        <v>188</v>
      </c>
      <c r="E475" s="228"/>
      <c r="F475" s="84"/>
      <c r="G475" s="228"/>
      <c r="H475" s="228"/>
      <c r="I475" s="228"/>
      <c r="J475" s="228"/>
      <c r="K475" s="228"/>
      <c r="L475" s="228"/>
      <c r="M475" s="228"/>
      <c r="N475" s="84">
        <v>0</v>
      </c>
      <c r="O475" s="228"/>
      <c r="P475" s="228"/>
      <c r="Q475" s="214"/>
      <c r="R475" s="217"/>
    </row>
    <row r="476" spans="1:18" ht="20" customHeight="1">
      <c r="A476" s="211">
        <f t="shared" si="88"/>
        <v>23</v>
      </c>
      <c r="B476" s="231" t="s">
        <v>3</v>
      </c>
      <c r="C476" s="228"/>
      <c r="D476" s="228">
        <v>300</v>
      </c>
      <c r="E476" s="228"/>
      <c r="F476" s="84"/>
      <c r="G476" s="228"/>
      <c r="H476" s="228"/>
      <c r="I476" s="228"/>
      <c r="J476" s="228"/>
      <c r="K476" s="228"/>
      <c r="L476" s="228"/>
      <c r="M476" s="228"/>
      <c r="N476" s="84">
        <v>0</v>
      </c>
      <c r="O476" s="228"/>
      <c r="P476" s="228"/>
      <c r="Q476" s="214"/>
      <c r="R476" s="217"/>
    </row>
    <row r="477" spans="1:18" ht="20" customHeight="1">
      <c r="A477" s="211">
        <f t="shared" si="88"/>
        <v>24</v>
      </c>
      <c r="B477" s="231" t="s">
        <v>52</v>
      </c>
      <c r="C477" s="228"/>
      <c r="D477" s="228">
        <v>342</v>
      </c>
      <c r="E477" s="228"/>
      <c r="F477" s="84"/>
      <c r="G477" s="228"/>
      <c r="H477" s="228"/>
      <c r="I477" s="228"/>
      <c r="J477" s="228"/>
      <c r="K477" s="228"/>
      <c r="L477" s="228">
        <v>220</v>
      </c>
      <c r="M477" s="228"/>
      <c r="N477" s="84">
        <v>0</v>
      </c>
      <c r="O477" s="228"/>
      <c r="P477" s="228"/>
      <c r="Q477" s="214"/>
      <c r="R477" s="217"/>
    </row>
    <row r="478" spans="1:18" ht="20" customHeight="1">
      <c r="A478" s="211">
        <f t="shared" si="88"/>
        <v>25</v>
      </c>
      <c r="B478" s="231" t="s">
        <v>120</v>
      </c>
      <c r="C478" s="228"/>
      <c r="D478" s="228"/>
      <c r="E478" s="228"/>
      <c r="F478" s="84"/>
      <c r="G478" s="228"/>
      <c r="H478" s="228"/>
      <c r="I478" s="228"/>
      <c r="J478" s="228"/>
      <c r="K478" s="228"/>
      <c r="L478" s="228"/>
      <c r="M478" s="228"/>
      <c r="N478" s="84">
        <v>0</v>
      </c>
      <c r="O478" s="228"/>
      <c r="P478" s="228"/>
      <c r="Q478" s="214"/>
      <c r="R478" s="329">
        <v>220</v>
      </c>
    </row>
    <row r="479" spans="1:18" ht="20" customHeight="1">
      <c r="A479" s="211">
        <f t="shared" si="88"/>
        <v>26</v>
      </c>
      <c r="B479" s="231" t="s">
        <v>39</v>
      </c>
      <c r="C479" s="228"/>
      <c r="D479" s="228"/>
      <c r="E479" s="228"/>
      <c r="F479" s="84"/>
      <c r="G479" s="228"/>
      <c r="H479" s="228"/>
      <c r="I479" s="228"/>
      <c r="J479" s="228">
        <v>200</v>
      </c>
      <c r="K479" s="228"/>
      <c r="L479" s="228"/>
      <c r="M479" s="228"/>
      <c r="N479" s="84">
        <v>0</v>
      </c>
      <c r="O479" s="228"/>
      <c r="P479" s="228"/>
      <c r="Q479" s="214"/>
      <c r="R479" s="217"/>
    </row>
    <row r="480" spans="1:18" ht="20" customHeight="1">
      <c r="A480" s="211">
        <f t="shared" si="88"/>
        <v>27</v>
      </c>
      <c r="B480" s="231" t="s">
        <v>86</v>
      </c>
      <c r="C480" s="228"/>
      <c r="D480" s="228">
        <v>266</v>
      </c>
      <c r="E480" s="228"/>
      <c r="F480" s="84"/>
      <c r="G480" s="228"/>
      <c r="H480" s="228"/>
      <c r="I480" s="228"/>
      <c r="J480" s="228"/>
      <c r="K480" s="228"/>
      <c r="L480" s="228"/>
      <c r="M480" s="228"/>
      <c r="N480" s="84">
        <v>0</v>
      </c>
      <c r="O480" s="228"/>
      <c r="P480" s="228"/>
      <c r="Q480" s="214"/>
      <c r="R480" s="217"/>
    </row>
    <row r="481" spans="1:18" ht="20" customHeight="1">
      <c r="A481" s="211">
        <f t="shared" si="88"/>
        <v>28</v>
      </c>
      <c r="B481" s="231" t="s">
        <v>46</v>
      </c>
      <c r="C481" s="228"/>
      <c r="D481" s="228">
        <v>209.52380952380952</v>
      </c>
      <c r="E481" s="228"/>
      <c r="F481" s="84"/>
      <c r="G481" s="228"/>
      <c r="H481" s="228"/>
      <c r="I481" s="228"/>
      <c r="J481" s="228"/>
      <c r="K481" s="228"/>
      <c r="L481" s="228"/>
      <c r="M481" s="228"/>
      <c r="N481" s="84">
        <v>0</v>
      </c>
      <c r="O481" s="228"/>
      <c r="P481" s="228"/>
      <c r="Q481" s="214"/>
      <c r="R481" s="217"/>
    </row>
    <row r="482" spans="1:18" ht="20" customHeight="1">
      <c r="A482" s="211">
        <f t="shared" si="88"/>
        <v>29</v>
      </c>
      <c r="B482" s="231" t="s">
        <v>68</v>
      </c>
      <c r="C482" s="228"/>
      <c r="D482" s="228">
        <v>457.14285714285711</v>
      </c>
      <c r="E482" s="228"/>
      <c r="F482" s="84"/>
      <c r="G482" s="228"/>
      <c r="H482" s="228"/>
      <c r="I482" s="228"/>
      <c r="J482" s="228"/>
      <c r="K482" s="228"/>
      <c r="L482" s="228"/>
      <c r="M482" s="228"/>
      <c r="N482" s="84">
        <v>0</v>
      </c>
      <c r="O482" s="228"/>
      <c r="P482" s="228"/>
      <c r="Q482" s="214"/>
      <c r="R482" s="329">
        <v>450</v>
      </c>
    </row>
    <row r="483" spans="1:18" ht="20" customHeight="1">
      <c r="A483" s="211">
        <f t="shared" si="88"/>
        <v>30</v>
      </c>
      <c r="B483" s="231" t="s">
        <v>87</v>
      </c>
      <c r="C483" s="228"/>
      <c r="D483" s="228">
        <v>172</v>
      </c>
      <c r="E483" s="228"/>
      <c r="F483" s="84"/>
      <c r="G483" s="228"/>
      <c r="H483" s="228"/>
      <c r="I483" s="228"/>
      <c r="J483" s="228"/>
      <c r="K483" s="228"/>
      <c r="L483" s="228"/>
      <c r="M483" s="228"/>
      <c r="N483" s="84">
        <v>0</v>
      </c>
      <c r="O483" s="228"/>
      <c r="P483" s="228"/>
      <c r="Q483" s="214"/>
      <c r="R483" s="217"/>
    </row>
    <row r="484" spans="1:18" ht="20" customHeight="1">
      <c r="A484" s="211">
        <f t="shared" si="88"/>
        <v>31</v>
      </c>
      <c r="B484" s="235" t="s">
        <v>435</v>
      </c>
      <c r="C484" s="228"/>
      <c r="D484" s="228">
        <v>340</v>
      </c>
      <c r="E484" s="228"/>
      <c r="F484" s="84"/>
      <c r="G484" s="228"/>
      <c r="H484" s="228"/>
      <c r="I484" s="228"/>
      <c r="J484" s="228"/>
      <c r="K484" s="228"/>
      <c r="L484" s="228"/>
      <c r="M484" s="228"/>
      <c r="N484" s="84">
        <v>0</v>
      </c>
      <c r="O484" s="228"/>
      <c r="P484" s="228"/>
      <c r="Q484" s="214"/>
      <c r="R484" s="217"/>
    </row>
    <row r="485" spans="1:18" ht="20" customHeight="1">
      <c r="A485" s="211">
        <f t="shared" si="88"/>
        <v>32</v>
      </c>
      <c r="B485" s="231" t="s">
        <v>40</v>
      </c>
      <c r="C485" s="228"/>
      <c r="D485" s="228">
        <v>96</v>
      </c>
      <c r="E485" s="228"/>
      <c r="F485" s="84"/>
      <c r="G485" s="228"/>
      <c r="H485" s="228"/>
      <c r="I485" s="228"/>
      <c r="J485" s="228"/>
      <c r="K485" s="228"/>
      <c r="L485" s="228"/>
      <c r="M485" s="228"/>
      <c r="N485" s="84">
        <v>0</v>
      </c>
      <c r="O485" s="228"/>
      <c r="P485" s="228"/>
      <c r="Q485" s="214"/>
      <c r="R485" s="217"/>
    </row>
    <row r="486" spans="1:18" ht="20" customHeight="1">
      <c r="A486" s="211">
        <f t="shared" si="88"/>
        <v>33</v>
      </c>
      <c r="B486" s="231" t="s">
        <v>35</v>
      </c>
      <c r="C486" s="228"/>
      <c r="D486" s="228">
        <v>2952.3809523809523</v>
      </c>
      <c r="E486" s="228"/>
      <c r="F486" s="180">
        <v>3100</v>
      </c>
      <c r="G486" s="228"/>
      <c r="H486" s="179">
        <v>2950</v>
      </c>
      <c r="I486" s="228"/>
      <c r="J486" s="228"/>
      <c r="K486" s="228"/>
      <c r="L486" s="228"/>
      <c r="M486" s="228"/>
      <c r="N486" s="84">
        <v>0</v>
      </c>
      <c r="O486" s="228">
        <v>3350</v>
      </c>
      <c r="P486" s="228"/>
      <c r="Q486" s="214"/>
      <c r="R486" s="217"/>
    </row>
    <row r="487" spans="1:18" ht="20" customHeight="1">
      <c r="A487" s="211">
        <f t="shared" ref="A487:A518" si="89">+A486+1</f>
        <v>34</v>
      </c>
      <c r="B487" s="231" t="s">
        <v>544</v>
      </c>
      <c r="C487" s="228"/>
      <c r="D487" s="228"/>
      <c r="E487" s="228"/>
      <c r="F487" s="180">
        <v>3100</v>
      </c>
      <c r="G487" s="228"/>
      <c r="H487" s="179">
        <v>2950</v>
      </c>
      <c r="I487" s="228"/>
      <c r="J487" s="228"/>
      <c r="K487" s="228"/>
      <c r="L487" s="228"/>
      <c r="M487" s="228"/>
      <c r="N487" s="84">
        <v>0</v>
      </c>
      <c r="O487" s="228">
        <v>3350</v>
      </c>
      <c r="P487" s="228"/>
      <c r="Q487" s="214"/>
      <c r="R487" s="217"/>
    </row>
    <row r="488" spans="1:18" ht="20" customHeight="1">
      <c r="A488" s="211">
        <f t="shared" si="89"/>
        <v>35</v>
      </c>
      <c r="B488" s="231" t="s">
        <v>67</v>
      </c>
      <c r="C488" s="228"/>
      <c r="D488" s="228">
        <v>120</v>
      </c>
      <c r="E488" s="228"/>
      <c r="F488" s="84"/>
      <c r="G488" s="228"/>
      <c r="H488" s="228"/>
      <c r="I488" s="228"/>
      <c r="J488" s="228"/>
      <c r="K488" s="228"/>
      <c r="L488" s="228"/>
      <c r="M488" s="228"/>
      <c r="N488" s="84">
        <v>0</v>
      </c>
      <c r="O488" s="228"/>
      <c r="P488" s="228"/>
      <c r="Q488" s="214"/>
      <c r="R488" s="217"/>
    </row>
    <row r="489" spans="1:18" ht="20" customHeight="1">
      <c r="A489" s="211">
        <f t="shared" si="89"/>
        <v>36</v>
      </c>
      <c r="B489" s="231" t="s">
        <v>88</v>
      </c>
      <c r="C489" s="228"/>
      <c r="D489" s="228">
        <v>52</v>
      </c>
      <c r="E489" s="228"/>
      <c r="F489" s="84"/>
      <c r="G489" s="228"/>
      <c r="H489" s="228"/>
      <c r="I489" s="228">
        <v>99</v>
      </c>
      <c r="J489" s="228"/>
      <c r="K489" s="228"/>
      <c r="L489" s="228"/>
      <c r="M489" s="228"/>
      <c r="N489" s="84">
        <v>0</v>
      </c>
      <c r="O489" s="228"/>
      <c r="P489" s="228"/>
      <c r="Q489" s="214"/>
      <c r="R489" s="329">
        <v>80</v>
      </c>
    </row>
    <row r="490" spans="1:18" ht="20" customHeight="1">
      <c r="A490" s="211">
        <f t="shared" si="89"/>
        <v>37</v>
      </c>
      <c r="B490" s="231" t="s">
        <v>545</v>
      </c>
      <c r="C490" s="228"/>
      <c r="D490" s="228"/>
      <c r="E490" s="228"/>
      <c r="F490" s="84"/>
      <c r="G490" s="228"/>
      <c r="H490" s="228"/>
      <c r="I490" s="228"/>
      <c r="J490" s="228"/>
      <c r="K490" s="228"/>
      <c r="L490" s="228"/>
      <c r="M490" s="228"/>
      <c r="N490" s="84">
        <v>0</v>
      </c>
      <c r="O490" s="228"/>
      <c r="P490" s="228"/>
      <c r="Q490" s="214"/>
      <c r="R490" s="329">
        <v>450</v>
      </c>
    </row>
    <row r="491" spans="1:18" ht="20" customHeight="1">
      <c r="A491" s="211">
        <f t="shared" si="89"/>
        <v>38</v>
      </c>
      <c r="B491" s="231" t="s">
        <v>65</v>
      </c>
      <c r="C491" s="228"/>
      <c r="D491" s="228">
        <v>115</v>
      </c>
      <c r="E491" s="228"/>
      <c r="F491" s="84"/>
      <c r="G491" s="228"/>
      <c r="H491" s="228"/>
      <c r="I491" s="228"/>
      <c r="J491" s="228"/>
      <c r="K491" s="228"/>
      <c r="L491" s="228"/>
      <c r="M491" s="228"/>
      <c r="N491" s="84">
        <v>0</v>
      </c>
      <c r="O491" s="228"/>
      <c r="P491" s="228"/>
      <c r="Q491" s="214"/>
      <c r="R491" s="217"/>
    </row>
    <row r="492" spans="1:18" ht="20" customHeight="1">
      <c r="A492" s="211">
        <f t="shared" si="89"/>
        <v>39</v>
      </c>
      <c r="B492" s="231" t="s">
        <v>89</v>
      </c>
      <c r="C492" s="228"/>
      <c r="D492" s="228">
        <v>457.14285714285711</v>
      </c>
      <c r="E492" s="228"/>
      <c r="F492" s="84"/>
      <c r="G492" s="228"/>
      <c r="H492" s="228"/>
      <c r="I492" s="228"/>
      <c r="J492" s="228"/>
      <c r="K492" s="228"/>
      <c r="L492" s="228"/>
      <c r="M492" s="228"/>
      <c r="N492" s="84">
        <v>0</v>
      </c>
      <c r="O492" s="228"/>
      <c r="P492" s="228"/>
      <c r="Q492" s="214"/>
      <c r="R492" s="217"/>
    </row>
    <row r="493" spans="1:18" ht="20" customHeight="1">
      <c r="A493" s="211">
        <f t="shared" si="89"/>
        <v>40</v>
      </c>
      <c r="B493" s="231" t="s">
        <v>270</v>
      </c>
      <c r="C493" s="228"/>
      <c r="D493" s="228"/>
      <c r="E493" s="228"/>
      <c r="F493" s="84"/>
      <c r="G493" s="228"/>
      <c r="H493" s="228"/>
      <c r="I493" s="228">
        <v>1070</v>
      </c>
      <c r="J493" s="228"/>
      <c r="K493" s="228"/>
      <c r="L493" s="228"/>
      <c r="M493" s="228"/>
      <c r="N493" s="84">
        <v>0</v>
      </c>
      <c r="O493" s="228"/>
      <c r="P493" s="228"/>
      <c r="Q493" s="214"/>
      <c r="R493" s="217"/>
    </row>
    <row r="494" spans="1:18" ht="20" customHeight="1">
      <c r="A494" s="211">
        <f t="shared" si="89"/>
        <v>41</v>
      </c>
      <c r="B494" s="231" t="s">
        <v>272</v>
      </c>
      <c r="C494" s="228"/>
      <c r="D494" s="228">
        <v>1409.5238095238094</v>
      </c>
      <c r="E494" s="228"/>
      <c r="F494" s="84"/>
      <c r="G494" s="228">
        <v>1050</v>
      </c>
      <c r="H494" s="228"/>
      <c r="I494" s="228"/>
      <c r="J494" s="228"/>
      <c r="K494" s="228"/>
      <c r="L494" s="228"/>
      <c r="M494" s="228"/>
      <c r="N494" s="84"/>
      <c r="O494" s="228"/>
      <c r="P494" s="228"/>
      <c r="Q494" s="214"/>
      <c r="R494" s="217"/>
    </row>
    <row r="495" spans="1:18" ht="20" customHeight="1">
      <c r="A495" s="211">
        <f t="shared" si="89"/>
        <v>42</v>
      </c>
      <c r="B495" s="231" t="s">
        <v>36</v>
      </c>
      <c r="C495" s="228"/>
      <c r="D495" s="228"/>
      <c r="E495" s="228"/>
      <c r="F495" s="84"/>
      <c r="G495" s="228"/>
      <c r="H495" s="228"/>
      <c r="I495" s="228"/>
      <c r="J495" s="228"/>
      <c r="K495" s="228"/>
      <c r="L495" s="228"/>
      <c r="M495" s="228"/>
      <c r="N495" s="84">
        <v>0</v>
      </c>
      <c r="O495" s="228"/>
      <c r="P495" s="228"/>
      <c r="Q495" s="214"/>
      <c r="R495" s="329">
        <v>400</v>
      </c>
    </row>
    <row r="496" spans="1:18" ht="20" customHeight="1">
      <c r="A496" s="211">
        <f t="shared" si="89"/>
        <v>43</v>
      </c>
      <c r="B496" s="231" t="s">
        <v>56</v>
      </c>
      <c r="C496" s="347">
        <f>I573</f>
        <v>246.4733333333333</v>
      </c>
      <c r="D496" s="228"/>
      <c r="E496" s="228"/>
      <c r="F496" s="84"/>
      <c r="G496" s="228"/>
      <c r="H496" s="228"/>
      <c r="I496" s="228"/>
      <c r="J496" s="228"/>
      <c r="K496" s="228"/>
      <c r="L496" s="228"/>
      <c r="M496" s="228"/>
      <c r="N496" s="84">
        <v>0</v>
      </c>
      <c r="O496" s="228"/>
      <c r="P496" s="228"/>
      <c r="Q496" s="214"/>
      <c r="R496" s="217"/>
    </row>
    <row r="497" spans="1:18" ht="20" customHeight="1">
      <c r="A497" s="211">
        <f t="shared" si="89"/>
        <v>44</v>
      </c>
      <c r="B497" s="231" t="s">
        <v>60</v>
      </c>
      <c r="C497" s="228"/>
      <c r="D497" s="228"/>
      <c r="E497" s="228"/>
      <c r="F497" s="84"/>
      <c r="G497" s="228"/>
      <c r="H497" s="228"/>
      <c r="I497" s="228"/>
      <c r="J497" s="228"/>
      <c r="K497" s="228"/>
      <c r="L497" s="228"/>
      <c r="M497" s="228"/>
      <c r="N497" s="84">
        <v>0</v>
      </c>
      <c r="O497" s="228"/>
      <c r="P497" s="228"/>
      <c r="Q497" s="214"/>
      <c r="R497" s="329">
        <v>340</v>
      </c>
    </row>
    <row r="498" spans="1:18" ht="20" customHeight="1">
      <c r="A498" s="211">
        <f t="shared" si="89"/>
        <v>45</v>
      </c>
      <c r="B498" s="231" t="s">
        <v>119</v>
      </c>
      <c r="C498" s="228"/>
      <c r="D498" s="214"/>
      <c r="E498" s="228"/>
      <c r="F498" s="84"/>
      <c r="G498" s="179">
        <v>740</v>
      </c>
      <c r="H498" s="228">
        <v>800</v>
      </c>
      <c r="I498" s="228"/>
      <c r="J498" s="228"/>
      <c r="K498" s="228"/>
      <c r="L498" s="228"/>
      <c r="M498" s="228"/>
      <c r="N498" s="84">
        <v>0</v>
      </c>
      <c r="O498" s="228"/>
      <c r="P498" s="228"/>
      <c r="Q498" s="214"/>
      <c r="R498" s="329">
        <v>1250</v>
      </c>
    </row>
    <row r="499" spans="1:18" ht="20" customHeight="1">
      <c r="A499" s="211">
        <f t="shared" si="89"/>
        <v>46</v>
      </c>
      <c r="B499" s="231" t="s">
        <v>16</v>
      </c>
      <c r="C499" s="228"/>
      <c r="D499" s="228"/>
      <c r="E499" s="228"/>
      <c r="F499" s="84"/>
      <c r="G499" s="179">
        <v>2150</v>
      </c>
      <c r="H499" s="228">
        <v>2700</v>
      </c>
      <c r="I499" s="228"/>
      <c r="J499" s="228"/>
      <c r="K499" s="228"/>
      <c r="L499" s="228"/>
      <c r="M499" s="228"/>
      <c r="N499" s="84">
        <v>0</v>
      </c>
      <c r="O499" s="228"/>
      <c r="P499" s="228"/>
      <c r="Q499" s="214"/>
      <c r="R499" s="217"/>
    </row>
    <row r="500" spans="1:18" ht="20" customHeight="1">
      <c r="A500" s="211">
        <f t="shared" si="89"/>
        <v>47</v>
      </c>
      <c r="B500" s="231" t="s">
        <v>118</v>
      </c>
      <c r="C500" s="228"/>
      <c r="D500" s="228"/>
      <c r="E500" s="228"/>
      <c r="F500" s="84"/>
      <c r="G500" s="228"/>
      <c r="H500" s="228"/>
      <c r="I500" s="228"/>
      <c r="J500" s="228"/>
      <c r="K500" s="228"/>
      <c r="L500" s="228"/>
      <c r="M500" s="228"/>
      <c r="N500" s="84">
        <v>0</v>
      </c>
      <c r="O500" s="228"/>
      <c r="P500" s="228"/>
      <c r="Q500" s="214"/>
      <c r="R500" s="217"/>
    </row>
    <row r="501" spans="1:18" ht="20" customHeight="1">
      <c r="A501" s="211">
        <f t="shared" si="89"/>
        <v>48</v>
      </c>
      <c r="B501" s="231" t="s">
        <v>90</v>
      </c>
      <c r="C501" s="228"/>
      <c r="D501" s="228"/>
      <c r="E501" s="228"/>
      <c r="F501" s="84"/>
      <c r="G501" s="228"/>
      <c r="H501" s="228"/>
      <c r="I501" s="228"/>
      <c r="J501" s="228"/>
      <c r="K501" s="228"/>
      <c r="L501" s="228"/>
      <c r="M501" s="228"/>
      <c r="N501" s="84">
        <v>0</v>
      </c>
      <c r="O501" s="228"/>
      <c r="P501" s="228"/>
      <c r="Q501" s="214"/>
      <c r="R501" s="329">
        <v>380</v>
      </c>
    </row>
    <row r="502" spans="1:18" ht="20" customHeight="1">
      <c r="A502" s="211">
        <f t="shared" si="89"/>
        <v>49</v>
      </c>
      <c r="B502" s="231" t="s">
        <v>41</v>
      </c>
      <c r="C502" s="228"/>
      <c r="D502" s="228">
        <v>128</v>
      </c>
      <c r="E502" s="228"/>
      <c r="F502" s="84"/>
      <c r="G502" s="228"/>
      <c r="H502" s="228"/>
      <c r="I502" s="228"/>
      <c r="J502" s="228"/>
      <c r="K502" s="228"/>
      <c r="L502" s="228"/>
      <c r="M502" s="228"/>
      <c r="N502" s="84">
        <v>0</v>
      </c>
      <c r="O502" s="228"/>
      <c r="P502" s="228"/>
      <c r="Q502" s="214"/>
      <c r="R502" s="217"/>
    </row>
    <row r="503" spans="1:18" ht="20" customHeight="1">
      <c r="A503" s="211">
        <f t="shared" si="89"/>
        <v>50</v>
      </c>
      <c r="B503" s="231" t="s">
        <v>14</v>
      </c>
      <c r="C503" s="228"/>
      <c r="D503" s="228">
        <v>2523.8095238095239</v>
      </c>
      <c r="E503" s="228"/>
      <c r="F503" s="84"/>
      <c r="G503" s="228">
        <v>1700</v>
      </c>
      <c r="H503" s="228"/>
      <c r="I503" s="228"/>
      <c r="J503" s="228"/>
      <c r="K503" s="228"/>
      <c r="L503" s="228"/>
      <c r="M503" s="228"/>
      <c r="N503" s="84">
        <v>0</v>
      </c>
      <c r="O503" s="228"/>
      <c r="P503" s="228"/>
      <c r="Q503" s="214"/>
      <c r="R503" s="329">
        <v>1250</v>
      </c>
    </row>
    <row r="504" spans="1:18" ht="20" customHeight="1">
      <c r="A504" s="211">
        <f t="shared" si="89"/>
        <v>51</v>
      </c>
      <c r="B504" s="231" t="s">
        <v>12</v>
      </c>
      <c r="C504" s="228"/>
      <c r="D504" s="228">
        <v>1142.8571428571429</v>
      </c>
      <c r="E504" s="228"/>
      <c r="F504" s="180">
        <v>900</v>
      </c>
      <c r="G504" s="228"/>
      <c r="H504" s="228">
        <v>650</v>
      </c>
      <c r="I504" s="228"/>
      <c r="J504" s="228"/>
      <c r="K504" s="228"/>
      <c r="L504" s="228"/>
      <c r="M504" s="228"/>
      <c r="N504" s="84">
        <v>0</v>
      </c>
      <c r="O504" s="228"/>
      <c r="P504" s="228"/>
      <c r="Q504" s="214"/>
      <c r="R504" s="217"/>
    </row>
    <row r="505" spans="1:18" ht="20" customHeight="1">
      <c r="A505" s="211">
        <f t="shared" si="89"/>
        <v>52</v>
      </c>
      <c r="B505" s="231" t="s">
        <v>5</v>
      </c>
      <c r="C505" s="228"/>
      <c r="D505" s="228">
        <v>304.76190476190476</v>
      </c>
      <c r="E505" s="228"/>
      <c r="F505" s="84"/>
      <c r="G505" s="228"/>
      <c r="H505" s="228">
        <v>965</v>
      </c>
      <c r="I505" s="228"/>
      <c r="J505" s="228"/>
      <c r="K505" s="228"/>
      <c r="L505" s="228"/>
      <c r="M505" s="228"/>
      <c r="N505" s="84">
        <v>0</v>
      </c>
      <c r="O505" s="228"/>
      <c r="P505" s="228"/>
      <c r="Q505" s="214"/>
      <c r="R505" s="217"/>
    </row>
    <row r="506" spans="1:18" ht="20" customHeight="1">
      <c r="A506" s="211">
        <f t="shared" si="89"/>
        <v>53</v>
      </c>
      <c r="B506" s="231" t="s">
        <v>91</v>
      </c>
      <c r="C506" s="228"/>
      <c r="D506" s="228">
        <v>228.57142857142856</v>
      </c>
      <c r="E506" s="228"/>
      <c r="F506" s="84"/>
      <c r="G506" s="228"/>
      <c r="H506" s="228"/>
      <c r="I506" s="228"/>
      <c r="J506" s="228"/>
      <c r="K506" s="228"/>
      <c r="L506" s="228"/>
      <c r="M506" s="228"/>
      <c r="N506" s="84">
        <v>0</v>
      </c>
      <c r="O506" s="228"/>
      <c r="P506" s="228"/>
      <c r="Q506" s="214"/>
      <c r="R506" s="217"/>
    </row>
    <row r="507" spans="1:18" ht="20" customHeight="1">
      <c r="A507" s="211">
        <f t="shared" si="89"/>
        <v>54</v>
      </c>
      <c r="B507" s="231" t="s">
        <v>37</v>
      </c>
      <c r="C507" s="228"/>
      <c r="D507" s="228"/>
      <c r="E507" s="228"/>
      <c r="F507" s="84"/>
      <c r="G507" s="228"/>
      <c r="H507" s="228"/>
      <c r="I507" s="228"/>
      <c r="J507" s="228"/>
      <c r="K507" s="228"/>
      <c r="L507" s="228"/>
      <c r="M507" s="228"/>
      <c r="N507" s="84">
        <v>0</v>
      </c>
      <c r="O507" s="228"/>
      <c r="P507" s="228"/>
      <c r="Q507" s="214"/>
      <c r="R507" s="329">
        <v>600</v>
      </c>
    </row>
    <row r="508" spans="1:18" ht="20" customHeight="1">
      <c r="A508" s="211">
        <f t="shared" si="89"/>
        <v>55</v>
      </c>
      <c r="B508" s="231" t="s">
        <v>44</v>
      </c>
      <c r="C508" s="228"/>
      <c r="D508" s="228">
        <v>128</v>
      </c>
      <c r="E508" s="228"/>
      <c r="F508" s="84"/>
      <c r="G508" s="228"/>
      <c r="H508" s="228"/>
      <c r="I508" s="228"/>
      <c r="J508" s="228"/>
      <c r="K508" s="228"/>
      <c r="L508" s="228"/>
      <c r="M508" s="228"/>
      <c r="N508" s="84">
        <v>0</v>
      </c>
      <c r="O508" s="228"/>
      <c r="P508" s="228"/>
      <c r="Q508" s="214"/>
      <c r="R508" s="217"/>
    </row>
    <row r="509" spans="1:18" ht="20" customHeight="1">
      <c r="A509" s="211">
        <f t="shared" si="89"/>
        <v>56</v>
      </c>
      <c r="B509" s="231" t="s">
        <v>54</v>
      </c>
      <c r="C509" s="228"/>
      <c r="D509" s="228">
        <v>129.52380952380952</v>
      </c>
      <c r="E509" s="228"/>
      <c r="F509" s="84"/>
      <c r="G509" s="228"/>
      <c r="H509" s="228"/>
      <c r="I509" s="228"/>
      <c r="J509" s="228"/>
      <c r="K509" s="228"/>
      <c r="L509" s="228">
        <v>165</v>
      </c>
      <c r="M509" s="228" t="s">
        <v>369</v>
      </c>
      <c r="N509" s="84">
        <v>0</v>
      </c>
      <c r="O509" s="228"/>
      <c r="P509" s="228"/>
      <c r="Q509" s="214"/>
      <c r="R509" s="217"/>
    </row>
    <row r="510" spans="1:18" ht="20" customHeight="1">
      <c r="A510" s="211">
        <f t="shared" si="89"/>
        <v>57</v>
      </c>
      <c r="B510" s="231" t="s">
        <v>64</v>
      </c>
      <c r="C510" s="228"/>
      <c r="D510" s="228">
        <v>285.71428571428572</v>
      </c>
      <c r="E510" s="228"/>
      <c r="F510" s="84"/>
      <c r="G510" s="228"/>
      <c r="H510" s="228"/>
      <c r="I510" s="228"/>
      <c r="J510" s="228"/>
      <c r="K510" s="228"/>
      <c r="L510" s="228"/>
      <c r="M510" s="228"/>
      <c r="N510" s="84">
        <v>0</v>
      </c>
      <c r="O510" s="228"/>
      <c r="P510" s="228"/>
      <c r="Q510" s="214">
        <v>600</v>
      </c>
      <c r="R510" s="217"/>
    </row>
    <row r="511" spans="1:18" ht="20" customHeight="1">
      <c r="A511" s="211">
        <f t="shared" si="89"/>
        <v>58</v>
      </c>
      <c r="B511" s="231" t="s">
        <v>73</v>
      </c>
      <c r="C511" s="228"/>
      <c r="D511" s="228"/>
      <c r="E511" s="228"/>
      <c r="F511" s="84"/>
      <c r="G511" s="228"/>
      <c r="H511" s="228"/>
      <c r="I511" s="228"/>
      <c r="J511" s="228"/>
      <c r="K511" s="228"/>
      <c r="L511" s="228">
        <v>320</v>
      </c>
      <c r="M511" s="228"/>
      <c r="N511" s="84">
        <v>0</v>
      </c>
      <c r="O511" s="228"/>
      <c r="P511" s="228"/>
      <c r="Q511" s="214">
        <v>275</v>
      </c>
      <c r="R511" s="217"/>
    </row>
    <row r="512" spans="1:18" ht="20" customHeight="1">
      <c r="A512" s="211">
        <f t="shared" si="89"/>
        <v>59</v>
      </c>
      <c r="B512" s="231" t="s">
        <v>161</v>
      </c>
      <c r="C512" s="228"/>
      <c r="D512" s="228">
        <v>285.71428571428572</v>
      </c>
      <c r="E512" s="228"/>
      <c r="F512" s="84"/>
      <c r="G512" s="228"/>
      <c r="H512" s="228"/>
      <c r="I512" s="228"/>
      <c r="J512" s="228"/>
      <c r="K512" s="228"/>
      <c r="L512" s="228"/>
      <c r="M512" s="228"/>
      <c r="N512" s="84">
        <v>0</v>
      </c>
      <c r="O512" s="228"/>
      <c r="P512" s="228"/>
      <c r="Q512" s="181">
        <v>600</v>
      </c>
      <c r="R512" s="217"/>
    </row>
    <row r="513" spans="1:18" ht="20" customHeight="1">
      <c r="A513" s="211">
        <f t="shared" si="89"/>
        <v>60</v>
      </c>
      <c r="B513" s="231" t="s">
        <v>179</v>
      </c>
      <c r="C513" s="228"/>
      <c r="D513" s="228"/>
      <c r="E513" s="228"/>
      <c r="F513" s="84"/>
      <c r="G513" s="228"/>
      <c r="H513" s="228"/>
      <c r="I513" s="228"/>
      <c r="J513" s="228"/>
      <c r="K513" s="228"/>
      <c r="L513" s="228">
        <v>310</v>
      </c>
      <c r="M513" s="228"/>
      <c r="N513" s="84">
        <v>0</v>
      </c>
      <c r="O513" s="228"/>
      <c r="P513" s="228"/>
      <c r="Q513" s="181">
        <v>270</v>
      </c>
      <c r="R513" s="217"/>
    </row>
    <row r="514" spans="1:18" ht="20" customHeight="1">
      <c r="A514" s="211">
        <f t="shared" si="89"/>
        <v>61</v>
      </c>
      <c r="B514" s="231" t="s">
        <v>183</v>
      </c>
      <c r="C514" s="228"/>
      <c r="D514" s="228"/>
      <c r="E514" s="228"/>
      <c r="F514" s="84"/>
      <c r="G514" s="228"/>
      <c r="H514" s="228"/>
      <c r="I514" s="228"/>
      <c r="J514" s="228"/>
      <c r="K514" s="228"/>
      <c r="L514" s="228">
        <v>230</v>
      </c>
      <c r="M514" s="228"/>
      <c r="N514" s="84">
        <v>0</v>
      </c>
      <c r="O514" s="228"/>
      <c r="P514" s="228"/>
      <c r="Q514" s="181">
        <v>270</v>
      </c>
      <c r="R514" s="217"/>
    </row>
    <row r="515" spans="1:18" ht="20" customHeight="1">
      <c r="A515" s="211">
        <f t="shared" si="89"/>
        <v>62</v>
      </c>
      <c r="B515" s="231" t="s">
        <v>92</v>
      </c>
      <c r="C515" s="228"/>
      <c r="D515" s="228"/>
      <c r="E515" s="228"/>
      <c r="F515" s="84"/>
      <c r="G515" s="228"/>
      <c r="H515" s="228"/>
      <c r="I515" s="228"/>
      <c r="J515" s="228"/>
      <c r="K515" s="228"/>
      <c r="L515" s="179">
        <v>270</v>
      </c>
      <c r="M515" s="228"/>
      <c r="N515" s="84">
        <v>0</v>
      </c>
      <c r="O515" s="228"/>
      <c r="P515" s="228"/>
      <c r="Q515" s="214"/>
      <c r="R515" s="217"/>
    </row>
    <row r="516" spans="1:18" ht="20" customHeight="1">
      <c r="A516" s="211">
        <f t="shared" si="89"/>
        <v>63</v>
      </c>
      <c r="B516" s="231" t="s">
        <v>94</v>
      </c>
      <c r="C516" s="228"/>
      <c r="D516" s="228"/>
      <c r="E516" s="228"/>
      <c r="F516" s="84"/>
      <c r="G516" s="228"/>
      <c r="H516" s="228"/>
      <c r="I516" s="228"/>
      <c r="J516" s="228"/>
      <c r="K516" s="228"/>
      <c r="L516" s="228">
        <v>300</v>
      </c>
      <c r="M516" s="228"/>
      <c r="N516" s="84">
        <v>0</v>
      </c>
      <c r="O516" s="228"/>
      <c r="P516" s="228"/>
      <c r="Q516" s="214"/>
      <c r="R516" s="217"/>
    </row>
    <row r="517" spans="1:18" ht="20" customHeight="1">
      <c r="A517" s="211">
        <f t="shared" si="89"/>
        <v>64</v>
      </c>
      <c r="B517" s="231" t="s">
        <v>95</v>
      </c>
      <c r="C517" s="228"/>
      <c r="D517" s="228"/>
      <c r="E517" s="228"/>
      <c r="F517" s="84"/>
      <c r="G517" s="228"/>
      <c r="H517" s="228"/>
      <c r="I517" s="228"/>
      <c r="J517" s="228"/>
      <c r="K517" s="228"/>
      <c r="L517" s="228">
        <v>280</v>
      </c>
      <c r="M517" s="228"/>
      <c r="N517" s="84">
        <v>0</v>
      </c>
      <c r="O517" s="228"/>
      <c r="P517" s="228"/>
      <c r="Q517" s="214"/>
      <c r="R517" s="217"/>
    </row>
    <row r="518" spans="1:18" ht="20" customHeight="1">
      <c r="A518" s="211">
        <f t="shared" si="89"/>
        <v>65</v>
      </c>
      <c r="B518" s="231" t="s">
        <v>96</v>
      </c>
      <c r="C518" s="228"/>
      <c r="D518" s="228"/>
      <c r="E518" s="228"/>
      <c r="F518" s="84"/>
      <c r="G518" s="228"/>
      <c r="H518" s="228"/>
      <c r="I518" s="228"/>
      <c r="J518" s="228"/>
      <c r="K518" s="228"/>
      <c r="L518" s="228">
        <v>200</v>
      </c>
      <c r="M518" s="228"/>
      <c r="N518" s="84">
        <v>0</v>
      </c>
      <c r="O518" s="228"/>
      <c r="P518" s="228"/>
      <c r="Q518" s="214"/>
      <c r="R518" s="217"/>
    </row>
    <row r="519" spans="1:18" ht="20" customHeight="1">
      <c r="A519" s="211">
        <f t="shared" ref="A519:A543" si="90">+A518+1</f>
        <v>66</v>
      </c>
      <c r="B519" s="231" t="s">
        <v>97</v>
      </c>
      <c r="C519" s="228"/>
      <c r="D519" s="228"/>
      <c r="E519" s="228"/>
      <c r="F519" s="84"/>
      <c r="G519" s="228"/>
      <c r="H519" s="228"/>
      <c r="I519" s="228"/>
      <c r="J519" s="228"/>
      <c r="K519" s="228"/>
      <c r="L519" s="228">
        <v>230</v>
      </c>
      <c r="M519" s="228"/>
      <c r="N519" s="84">
        <v>0</v>
      </c>
      <c r="O519" s="228"/>
      <c r="P519" s="228"/>
      <c r="Q519" s="214"/>
      <c r="R519" s="217"/>
    </row>
    <row r="520" spans="1:18" ht="20" customHeight="1">
      <c r="A520" s="211">
        <f t="shared" si="90"/>
        <v>67</v>
      </c>
      <c r="B520" s="231" t="s">
        <v>98</v>
      </c>
      <c r="C520" s="228"/>
      <c r="D520" s="228"/>
      <c r="E520" s="228"/>
      <c r="F520" s="84"/>
      <c r="G520" s="228"/>
      <c r="H520" s="228"/>
      <c r="I520" s="228"/>
      <c r="J520" s="228"/>
      <c r="K520" s="228"/>
      <c r="L520" s="228">
        <v>200</v>
      </c>
      <c r="M520" s="228"/>
      <c r="N520" s="84">
        <v>0</v>
      </c>
      <c r="O520" s="228"/>
      <c r="P520" s="228"/>
      <c r="Q520" s="214"/>
      <c r="R520" s="217"/>
    </row>
    <row r="521" spans="1:18" ht="20" customHeight="1">
      <c r="A521" s="211">
        <f t="shared" si="90"/>
        <v>68</v>
      </c>
      <c r="B521" s="231" t="s">
        <v>181</v>
      </c>
      <c r="C521" s="228"/>
      <c r="D521" s="228"/>
      <c r="E521" s="228"/>
      <c r="F521" s="84"/>
      <c r="G521" s="228"/>
      <c r="H521" s="228"/>
      <c r="I521" s="228"/>
      <c r="J521" s="228"/>
      <c r="K521" s="228"/>
      <c r="L521" s="179">
        <v>360</v>
      </c>
      <c r="M521" s="228"/>
      <c r="N521" s="84">
        <v>0</v>
      </c>
      <c r="O521" s="228"/>
      <c r="P521" s="228"/>
      <c r="Q521" s="181">
        <v>275</v>
      </c>
      <c r="R521" s="217"/>
    </row>
    <row r="522" spans="1:18" ht="20" customHeight="1">
      <c r="A522" s="211">
        <f t="shared" si="90"/>
        <v>69</v>
      </c>
      <c r="B522" s="231" t="s">
        <v>99</v>
      </c>
      <c r="C522" s="228"/>
      <c r="D522" s="228">
        <v>495.23809523809524</v>
      </c>
      <c r="E522" s="228"/>
      <c r="F522" s="84"/>
      <c r="G522" s="228"/>
      <c r="H522" s="228"/>
      <c r="I522" s="228"/>
      <c r="J522" s="228"/>
      <c r="K522" s="228"/>
      <c r="L522" s="228" t="s">
        <v>284</v>
      </c>
      <c r="M522" s="228"/>
      <c r="N522" s="84">
        <v>0</v>
      </c>
      <c r="O522" s="228"/>
      <c r="P522" s="228"/>
      <c r="Q522" s="214">
        <v>560</v>
      </c>
      <c r="R522" s="217"/>
    </row>
    <row r="523" spans="1:18" ht="20" customHeight="1">
      <c r="A523" s="211">
        <f t="shared" si="90"/>
        <v>70</v>
      </c>
      <c r="B523" s="231" t="s">
        <v>185</v>
      </c>
      <c r="C523" s="228"/>
      <c r="D523" s="228"/>
      <c r="E523" s="228"/>
      <c r="F523" s="84"/>
      <c r="G523" s="228"/>
      <c r="H523" s="228"/>
      <c r="I523" s="228"/>
      <c r="J523" s="228"/>
      <c r="K523" s="228"/>
      <c r="L523" s="228"/>
      <c r="M523" s="228">
        <v>579.04</v>
      </c>
      <c r="N523" s="84">
        <v>0</v>
      </c>
      <c r="O523" s="228"/>
      <c r="P523" s="228"/>
      <c r="Q523" s="181">
        <v>590</v>
      </c>
      <c r="R523" s="217"/>
    </row>
    <row r="524" spans="1:18" ht="20" customHeight="1">
      <c r="A524" s="211">
        <f t="shared" si="90"/>
        <v>71</v>
      </c>
      <c r="B524" s="231" t="s">
        <v>163</v>
      </c>
      <c r="C524" s="228"/>
      <c r="D524" s="228">
        <v>495.23809523809524</v>
      </c>
      <c r="E524" s="228"/>
      <c r="F524" s="84"/>
      <c r="G524" s="228"/>
      <c r="H524" s="228"/>
      <c r="I524" s="228"/>
      <c r="J524" s="228"/>
      <c r="K524" s="228"/>
      <c r="L524" s="228"/>
      <c r="M524" s="228"/>
      <c r="N524" s="84">
        <v>0</v>
      </c>
      <c r="O524" s="228"/>
      <c r="P524" s="228"/>
      <c r="Q524" s="181">
        <v>630</v>
      </c>
      <c r="R524" s="217"/>
    </row>
    <row r="525" spans="1:18" ht="20" customHeight="1">
      <c r="A525" s="211">
        <f t="shared" si="90"/>
        <v>72</v>
      </c>
      <c r="B525" s="231" t="s">
        <v>101</v>
      </c>
      <c r="C525" s="228"/>
      <c r="D525" s="228"/>
      <c r="E525" s="228"/>
      <c r="F525" s="84"/>
      <c r="G525" s="228"/>
      <c r="H525" s="228"/>
      <c r="I525" s="228"/>
      <c r="J525" s="228"/>
      <c r="K525" s="228"/>
      <c r="L525" s="228"/>
      <c r="M525" s="228"/>
      <c r="N525" s="84">
        <v>0</v>
      </c>
      <c r="O525" s="228"/>
      <c r="P525" s="228"/>
      <c r="Q525" s="214"/>
      <c r="R525" s="217"/>
    </row>
    <row r="526" spans="1:18" ht="20" customHeight="1">
      <c r="A526" s="211">
        <f t="shared" si="90"/>
        <v>73</v>
      </c>
      <c r="B526" s="231" t="s">
        <v>102</v>
      </c>
      <c r="C526" s="228"/>
      <c r="D526" s="228"/>
      <c r="E526" s="228"/>
      <c r="F526" s="84"/>
      <c r="G526" s="228"/>
      <c r="H526" s="228"/>
      <c r="I526" s="228"/>
      <c r="J526" s="228"/>
      <c r="K526" s="228"/>
      <c r="L526" s="228"/>
      <c r="M526" s="228"/>
      <c r="N526" s="84">
        <v>0</v>
      </c>
      <c r="O526" s="228"/>
      <c r="P526" s="228"/>
      <c r="Q526" s="214"/>
      <c r="R526" s="217"/>
    </row>
    <row r="527" spans="1:18" ht="20" customHeight="1">
      <c r="A527" s="211">
        <f t="shared" si="90"/>
        <v>74</v>
      </c>
      <c r="B527" s="231" t="s">
        <v>103</v>
      </c>
      <c r="C527" s="228"/>
      <c r="D527" s="228"/>
      <c r="E527" s="228"/>
      <c r="F527" s="84"/>
      <c r="G527" s="228"/>
      <c r="H527" s="228"/>
      <c r="I527" s="228"/>
      <c r="J527" s="228"/>
      <c r="K527" s="228"/>
      <c r="L527" s="228">
        <v>210</v>
      </c>
      <c r="M527" s="228"/>
      <c r="N527" s="84">
        <v>0</v>
      </c>
      <c r="O527" s="228"/>
      <c r="P527" s="228"/>
      <c r="Q527" s="214"/>
      <c r="R527" s="217"/>
    </row>
    <row r="528" spans="1:18" ht="20" customHeight="1">
      <c r="A528" s="211">
        <f t="shared" si="90"/>
        <v>75</v>
      </c>
      <c r="B528" s="231" t="s">
        <v>63</v>
      </c>
      <c r="C528" s="228"/>
      <c r="D528" s="228"/>
      <c r="E528" s="228"/>
      <c r="F528" s="84"/>
      <c r="G528" s="228"/>
      <c r="H528" s="228"/>
      <c r="I528" s="228"/>
      <c r="J528" s="228"/>
      <c r="K528" s="228"/>
      <c r="L528" s="228"/>
      <c r="M528" s="228">
        <v>150</v>
      </c>
      <c r="N528" s="84">
        <v>0</v>
      </c>
      <c r="O528" s="228"/>
      <c r="P528" s="228"/>
      <c r="Q528" s="214"/>
      <c r="R528" s="217"/>
    </row>
    <row r="529" spans="1:18" ht="20" customHeight="1">
      <c r="A529" s="211">
        <f t="shared" si="90"/>
        <v>76</v>
      </c>
      <c r="B529" s="231" t="s">
        <v>42</v>
      </c>
      <c r="C529" s="228"/>
      <c r="D529" s="228">
        <v>68</v>
      </c>
      <c r="E529" s="228"/>
      <c r="F529" s="84"/>
      <c r="G529" s="228"/>
      <c r="H529" s="228"/>
      <c r="I529" s="228"/>
      <c r="J529" s="228"/>
      <c r="K529" s="228"/>
      <c r="L529" s="228"/>
      <c r="M529" s="228"/>
      <c r="N529" s="84">
        <v>0</v>
      </c>
      <c r="O529" s="228"/>
      <c r="P529" s="228"/>
      <c r="Q529" s="214"/>
      <c r="R529" s="217"/>
    </row>
    <row r="530" spans="1:18" ht="20" customHeight="1">
      <c r="A530" s="211">
        <f t="shared" si="90"/>
        <v>77</v>
      </c>
      <c r="B530" s="231" t="s">
        <v>117</v>
      </c>
      <c r="C530" s="229"/>
      <c r="D530" s="228"/>
      <c r="E530" s="228"/>
      <c r="F530" s="84"/>
      <c r="G530" s="228"/>
      <c r="H530" s="228"/>
      <c r="I530" s="228"/>
      <c r="J530" s="228"/>
      <c r="K530" s="228"/>
      <c r="L530" s="228"/>
      <c r="M530" s="228"/>
      <c r="N530" s="84">
        <v>0</v>
      </c>
      <c r="O530" s="228"/>
      <c r="P530" s="228"/>
      <c r="Q530" s="214"/>
      <c r="R530" s="329">
        <v>380</v>
      </c>
    </row>
    <row r="531" spans="1:18" ht="20" customHeight="1">
      <c r="A531" s="211">
        <f t="shared" si="90"/>
        <v>78</v>
      </c>
      <c r="B531" s="231" t="s">
        <v>204</v>
      </c>
      <c r="C531" s="228"/>
      <c r="D531" s="228"/>
      <c r="E531" s="228"/>
      <c r="F531" s="84"/>
      <c r="G531" s="228"/>
      <c r="H531" s="228"/>
      <c r="I531" s="228"/>
      <c r="J531" s="228"/>
      <c r="K531" s="228"/>
      <c r="L531" s="228"/>
      <c r="M531" s="228"/>
      <c r="N531" s="84">
        <v>180000</v>
      </c>
      <c r="O531" s="228"/>
      <c r="P531" s="228"/>
      <c r="Q531" s="214"/>
      <c r="R531" s="217"/>
    </row>
    <row r="532" spans="1:18" ht="20" customHeight="1">
      <c r="A532" s="211">
        <f t="shared" si="90"/>
        <v>79</v>
      </c>
      <c r="B532" s="231" t="s">
        <v>104</v>
      </c>
      <c r="C532" s="228"/>
      <c r="D532" s="228"/>
      <c r="E532" s="228"/>
      <c r="F532" s="84"/>
      <c r="G532" s="228"/>
      <c r="H532" s="228"/>
      <c r="I532" s="228"/>
      <c r="J532" s="228"/>
      <c r="K532" s="228"/>
      <c r="L532" s="228"/>
      <c r="M532" s="228"/>
      <c r="N532" s="84">
        <v>0</v>
      </c>
      <c r="O532" s="228"/>
      <c r="P532" s="228"/>
      <c r="Q532" s="214"/>
      <c r="R532" s="217"/>
    </row>
    <row r="533" spans="1:18" ht="20" customHeight="1">
      <c r="A533" s="211">
        <f t="shared" si="90"/>
        <v>80</v>
      </c>
      <c r="B533" s="231" t="s">
        <v>13</v>
      </c>
      <c r="C533" s="228"/>
      <c r="D533" s="228">
        <v>761.90476190476193</v>
      </c>
      <c r="E533" s="228"/>
      <c r="F533" s="84"/>
      <c r="G533" s="179">
        <v>511</v>
      </c>
      <c r="H533" s="228"/>
      <c r="I533" s="228"/>
      <c r="J533" s="228"/>
      <c r="K533" s="228"/>
      <c r="L533" s="228"/>
      <c r="M533" s="228"/>
      <c r="N533" s="84">
        <v>0</v>
      </c>
      <c r="O533" s="228"/>
      <c r="P533" s="228"/>
      <c r="Q533" s="214"/>
      <c r="R533" s="217"/>
    </row>
    <row r="534" spans="1:18" ht="20" customHeight="1">
      <c r="A534" s="211">
        <f t="shared" si="90"/>
        <v>81</v>
      </c>
      <c r="B534" s="231" t="s">
        <v>17</v>
      </c>
      <c r="C534" s="228"/>
      <c r="D534" s="228">
        <v>914.28571428571422</v>
      </c>
      <c r="E534" s="179">
        <v>450</v>
      </c>
      <c r="F534" s="84"/>
      <c r="G534" s="179">
        <v>475</v>
      </c>
      <c r="H534" s="228"/>
      <c r="I534" s="228"/>
      <c r="J534" s="228"/>
      <c r="K534" s="228"/>
      <c r="L534" s="228"/>
      <c r="M534" s="228"/>
      <c r="N534" s="84">
        <v>0</v>
      </c>
      <c r="O534" s="228"/>
      <c r="P534" s="228"/>
      <c r="Q534" s="214"/>
      <c r="R534" s="217"/>
    </row>
    <row r="535" spans="1:18" ht="20" customHeight="1">
      <c r="A535" s="211">
        <f t="shared" si="90"/>
        <v>82</v>
      </c>
      <c r="B535" s="231" t="s">
        <v>71</v>
      </c>
      <c r="C535" s="228"/>
      <c r="D535" s="228">
        <v>200</v>
      </c>
      <c r="E535" s="228"/>
      <c r="F535" s="84"/>
      <c r="G535" s="228"/>
      <c r="H535" s="228"/>
      <c r="I535" s="228">
        <v>475</v>
      </c>
      <c r="J535" s="228"/>
      <c r="K535" s="228"/>
      <c r="L535" s="228"/>
      <c r="M535" s="228"/>
      <c r="N535" s="84">
        <v>0</v>
      </c>
      <c r="O535" s="228"/>
      <c r="P535" s="228"/>
      <c r="Q535" s="214"/>
      <c r="R535" s="217"/>
    </row>
    <row r="536" spans="1:18" ht="20" customHeight="1">
      <c r="A536" s="211">
        <f t="shared" si="90"/>
        <v>83</v>
      </c>
      <c r="B536" s="231" t="s">
        <v>47</v>
      </c>
      <c r="C536" s="228"/>
      <c r="D536" s="228">
        <v>28</v>
      </c>
      <c r="E536" s="228"/>
      <c r="F536" s="84"/>
      <c r="G536" s="228"/>
      <c r="H536" s="228"/>
      <c r="I536" s="228"/>
      <c r="J536" s="228"/>
      <c r="K536" s="228"/>
      <c r="L536" s="228"/>
      <c r="M536" s="228"/>
      <c r="N536" s="84">
        <v>0</v>
      </c>
      <c r="O536" s="228"/>
      <c r="P536" s="228"/>
      <c r="Q536" s="214"/>
      <c r="R536" s="217"/>
    </row>
    <row r="537" spans="1:18" ht="20" customHeight="1">
      <c r="A537" s="211">
        <f t="shared" si="90"/>
        <v>84</v>
      </c>
      <c r="B537" s="231" t="s">
        <v>187</v>
      </c>
      <c r="C537" s="228"/>
      <c r="D537" s="228"/>
      <c r="E537" s="228"/>
      <c r="F537" s="84"/>
      <c r="G537" s="228"/>
      <c r="H537" s="228"/>
      <c r="I537" s="228"/>
      <c r="J537" s="228"/>
      <c r="K537" s="228"/>
      <c r="L537" s="179">
        <v>195</v>
      </c>
      <c r="M537" s="228">
        <v>218.09</v>
      </c>
      <c r="N537" s="84">
        <v>0</v>
      </c>
      <c r="O537" s="228"/>
      <c r="P537" s="228"/>
      <c r="Q537" s="214"/>
      <c r="R537" s="217"/>
    </row>
    <row r="538" spans="1:18" ht="20" customHeight="1">
      <c r="A538" s="211">
        <f t="shared" si="90"/>
        <v>85</v>
      </c>
      <c r="B538" s="231" t="s">
        <v>189</v>
      </c>
      <c r="C538" s="228"/>
      <c r="D538" s="228"/>
      <c r="E538" s="179">
        <v>430</v>
      </c>
      <c r="F538" s="84"/>
      <c r="G538" s="228"/>
      <c r="H538" s="228"/>
      <c r="I538" s="228"/>
      <c r="J538" s="228"/>
      <c r="K538" s="228"/>
      <c r="L538" s="228"/>
      <c r="M538" s="228"/>
      <c r="N538" s="84">
        <v>0</v>
      </c>
      <c r="O538" s="228"/>
      <c r="P538" s="228"/>
      <c r="Q538" s="214"/>
      <c r="R538" s="217"/>
    </row>
    <row r="539" spans="1:18" ht="20" customHeight="1">
      <c r="A539" s="211">
        <f t="shared" si="90"/>
        <v>86</v>
      </c>
      <c r="B539" s="231" t="s">
        <v>115</v>
      </c>
      <c r="C539" s="228"/>
      <c r="D539" s="228"/>
      <c r="E539" s="228"/>
      <c r="F539" s="84"/>
      <c r="G539" s="228"/>
      <c r="H539" s="228"/>
      <c r="I539" s="228"/>
      <c r="J539" s="228"/>
      <c r="K539" s="228"/>
      <c r="L539" s="228"/>
      <c r="M539" s="228"/>
      <c r="N539" s="84">
        <v>0</v>
      </c>
      <c r="O539" s="228"/>
      <c r="P539" s="228"/>
      <c r="Q539" s="214"/>
      <c r="R539" s="329">
        <v>800</v>
      </c>
    </row>
    <row r="540" spans="1:18" ht="20" customHeight="1">
      <c r="A540" s="211">
        <f t="shared" si="90"/>
        <v>87</v>
      </c>
      <c r="B540" s="231" t="s">
        <v>58</v>
      </c>
      <c r="C540" s="228"/>
      <c r="D540" s="228">
        <v>48</v>
      </c>
      <c r="E540" s="228"/>
      <c r="F540" s="84"/>
      <c r="G540" s="228"/>
      <c r="H540" s="228"/>
      <c r="I540" s="228"/>
      <c r="J540" s="228"/>
      <c r="K540" s="228"/>
      <c r="L540" s="228"/>
      <c r="M540" s="228"/>
      <c r="N540" s="84">
        <v>0</v>
      </c>
      <c r="O540" s="228"/>
      <c r="P540" s="228"/>
      <c r="Q540" s="214"/>
      <c r="R540" s="217"/>
    </row>
    <row r="541" spans="1:18" ht="20" customHeight="1">
      <c r="A541" s="211">
        <f t="shared" si="90"/>
        <v>88</v>
      </c>
      <c r="B541" s="231" t="s">
        <v>57</v>
      </c>
      <c r="C541" s="228"/>
      <c r="D541" s="228">
        <v>208</v>
      </c>
      <c r="E541" s="228"/>
      <c r="F541" s="84"/>
      <c r="G541" s="228"/>
      <c r="H541" s="228"/>
      <c r="I541" s="228"/>
      <c r="J541" s="228"/>
      <c r="K541" s="228"/>
      <c r="L541" s="228"/>
      <c r="M541" s="228"/>
      <c r="N541" s="84">
        <v>0</v>
      </c>
      <c r="O541" s="228"/>
      <c r="P541" s="228"/>
      <c r="Q541" s="214"/>
      <c r="R541" s="217"/>
    </row>
    <row r="542" spans="1:18" ht="20" customHeight="1">
      <c r="A542" s="211">
        <f t="shared" si="90"/>
        <v>89</v>
      </c>
      <c r="B542" s="349" t="s">
        <v>553</v>
      </c>
      <c r="C542" s="350"/>
      <c r="D542" s="350"/>
      <c r="E542" s="350"/>
      <c r="F542" s="351"/>
      <c r="G542" s="350"/>
      <c r="H542" s="350"/>
      <c r="I542" s="350"/>
      <c r="J542" s="350"/>
      <c r="K542" s="350"/>
      <c r="L542" s="350">
        <v>300</v>
      </c>
      <c r="M542" s="350"/>
      <c r="N542" s="351"/>
      <c r="O542" s="350"/>
      <c r="P542" s="350"/>
      <c r="Q542" s="352"/>
      <c r="R542" s="353"/>
    </row>
    <row r="543" spans="1:18" ht="20" customHeight="1" thickBot="1">
      <c r="A543" s="211">
        <f t="shared" si="90"/>
        <v>90</v>
      </c>
      <c r="B543" s="232" t="s">
        <v>217</v>
      </c>
      <c r="C543" s="220"/>
      <c r="D543" s="220">
        <v>0</v>
      </c>
      <c r="E543" s="220"/>
      <c r="F543" s="220"/>
      <c r="G543" s="220"/>
      <c r="H543" s="220"/>
      <c r="I543" s="220"/>
      <c r="J543" s="220"/>
      <c r="K543" s="220"/>
      <c r="L543" s="220">
        <v>300</v>
      </c>
      <c r="M543" s="220"/>
      <c r="N543" s="220"/>
      <c r="O543" s="220"/>
      <c r="P543" s="220"/>
      <c r="Q543" s="220"/>
      <c r="R543" s="222"/>
    </row>
    <row r="550" spans="1:11" ht="35" customHeight="1">
      <c r="E550" s="379" t="s">
        <v>403</v>
      </c>
      <c r="F550" s="379"/>
      <c r="G550" s="379"/>
      <c r="H550" s="379"/>
    </row>
    <row r="551" spans="1:11" ht="20" customHeight="1">
      <c r="A551" s="381" t="s">
        <v>452</v>
      </c>
      <c r="B551" s="381"/>
      <c r="C551" s="381"/>
      <c r="D551" s="381"/>
      <c r="E551" s="381"/>
      <c r="F551" s="14"/>
      <c r="G551" s="73" t="s">
        <v>276</v>
      </c>
      <c r="H551" s="73" t="s">
        <v>277</v>
      </c>
      <c r="I551" s="73" t="s">
        <v>433</v>
      </c>
      <c r="J551" s="73" t="s">
        <v>434</v>
      </c>
      <c r="K551" s="24" t="s">
        <v>358</v>
      </c>
    </row>
    <row r="552" spans="1:11" ht="20" customHeight="1">
      <c r="A552" s="15" t="s">
        <v>27</v>
      </c>
      <c r="B552" s="15" t="s">
        <v>28</v>
      </c>
      <c r="C552" s="15" t="s">
        <v>29</v>
      </c>
      <c r="D552" s="15" t="s">
        <v>29</v>
      </c>
      <c r="E552" s="15" t="s">
        <v>30</v>
      </c>
      <c r="F552" s="16"/>
      <c r="G552" s="74">
        <v>1</v>
      </c>
      <c r="H552" s="75" t="s">
        <v>20</v>
      </c>
      <c r="I552" s="76">
        <f>+E957*10+(K552)</f>
        <v>327.15957983193277</v>
      </c>
      <c r="J552" s="77">
        <f>I552/1000</f>
        <v>0.32715957983193278</v>
      </c>
      <c r="K552" s="80">
        <v>10</v>
      </c>
    </row>
    <row r="553" spans="1:11" ht="20" customHeight="1">
      <c r="A553" s="15"/>
      <c r="B553" s="15"/>
      <c r="C553" s="15" t="s">
        <v>32</v>
      </c>
      <c r="D553" s="15" t="s">
        <v>33</v>
      </c>
      <c r="E553" s="15"/>
      <c r="F553" s="16"/>
      <c r="G553" s="74">
        <f t="shared" ref="G553:G580" si="91">+G552+1</f>
        <v>2</v>
      </c>
      <c r="H553" s="75" t="s">
        <v>172</v>
      </c>
      <c r="I553" s="76">
        <f>+E1078*10</f>
        <v>925.05</v>
      </c>
      <c r="J553" s="77">
        <f t="shared" ref="J553:J580" si="92">I553/1000</f>
        <v>0.92504999999999993</v>
      </c>
    </row>
    <row r="554" spans="1:11" ht="20" customHeight="1">
      <c r="A554" s="20">
        <v>1</v>
      </c>
      <c r="B554" s="19" t="s">
        <v>158</v>
      </c>
      <c r="C554" s="18">
        <v>100</v>
      </c>
      <c r="D554" s="21">
        <f t="shared" ref="D554:D574" si="93">C554*1000/$C$575</f>
        <v>24.509803921568629</v>
      </c>
      <c r="E554" s="22">
        <f>+VLOOKUP($B554,'Master Data'!$B$22:$W$110,21,FALSE)*$D554</f>
        <v>4.2549019607843137</v>
      </c>
      <c r="F554" s="67"/>
      <c r="G554" s="74">
        <f t="shared" si="91"/>
        <v>3</v>
      </c>
      <c r="H554" s="75" t="s">
        <v>75</v>
      </c>
      <c r="I554" s="76">
        <f>+E897*10</f>
        <v>270.10133333333334</v>
      </c>
      <c r="J554" s="77">
        <f t="shared" si="92"/>
        <v>0.27010133333333336</v>
      </c>
      <c r="K554" s="24" t="s">
        <v>358</v>
      </c>
    </row>
    <row r="555" spans="1:11" ht="20" customHeight="1">
      <c r="A555" s="20">
        <v>2</v>
      </c>
      <c r="B555" s="19" t="s">
        <v>15</v>
      </c>
      <c r="C555" s="18">
        <v>200</v>
      </c>
      <c r="D555" s="21">
        <f t="shared" si="93"/>
        <v>49.019607843137258</v>
      </c>
      <c r="E555" s="22">
        <f>+VLOOKUP($B555,'Master Data'!$B$22:$W$110,21,FALSE)*$D555</f>
        <v>96.009803921568633</v>
      </c>
      <c r="F555" s="68"/>
      <c r="G555" s="74">
        <f t="shared" si="91"/>
        <v>4</v>
      </c>
      <c r="H555" s="75" t="s">
        <v>105</v>
      </c>
      <c r="I555" s="76">
        <f>+E975*10</f>
        <v>190.95999999999998</v>
      </c>
      <c r="J555" s="77">
        <f t="shared" si="92"/>
        <v>0.19095999999999999</v>
      </c>
      <c r="K555" s="279">
        <f>IF(K558="Yes",K552, 0%)</f>
        <v>10</v>
      </c>
    </row>
    <row r="556" spans="1:11" ht="20" customHeight="1">
      <c r="A556" s="20">
        <v>3</v>
      </c>
      <c r="B556" s="19" t="s">
        <v>0</v>
      </c>
      <c r="C556" s="18">
        <v>200</v>
      </c>
      <c r="D556" s="21">
        <f t="shared" si="93"/>
        <v>49.019607843137258</v>
      </c>
      <c r="E556" s="22">
        <f>+VLOOKUP($B556,'Master Data'!$B$22:$W$110,21,FALSE)*$D556</f>
        <v>43.186274509803923</v>
      </c>
      <c r="F556" s="68"/>
      <c r="G556" s="74">
        <f t="shared" si="91"/>
        <v>5</v>
      </c>
      <c r="H556" s="75" t="s">
        <v>106</v>
      </c>
      <c r="I556" s="76">
        <f>+E992*10</f>
        <v>190.96000000000004</v>
      </c>
      <c r="J556" s="77">
        <f t="shared" si="92"/>
        <v>0.19096000000000005</v>
      </c>
    </row>
    <row r="557" spans="1:11" ht="20" customHeight="1">
      <c r="A557" s="20">
        <v>4</v>
      </c>
      <c r="B557" s="19" t="s">
        <v>288</v>
      </c>
      <c r="C557" s="18">
        <v>100</v>
      </c>
      <c r="D557" s="21">
        <f t="shared" si="93"/>
        <v>24.509803921568629</v>
      </c>
      <c r="E557" s="22">
        <f>+VLOOKUP($B557,'Master Data'!$B$22:$W$110,21,FALSE)*$D557</f>
        <v>27.175536881419237</v>
      </c>
      <c r="F557" s="68"/>
      <c r="G557" s="74">
        <f t="shared" si="91"/>
        <v>6</v>
      </c>
      <c r="H557" s="75" t="s">
        <v>107</v>
      </c>
      <c r="I557" s="76">
        <f>+E1009*10</f>
        <v>190.95999999999998</v>
      </c>
      <c r="J557" s="77">
        <f t="shared" si="92"/>
        <v>0.19095999999999999</v>
      </c>
      <c r="K557" s="24" t="s">
        <v>359</v>
      </c>
    </row>
    <row r="558" spans="1:11" ht="20" customHeight="1">
      <c r="A558" s="20">
        <v>5</v>
      </c>
      <c r="B558" s="19" t="s">
        <v>34</v>
      </c>
      <c r="C558" s="18">
        <v>40</v>
      </c>
      <c r="D558" s="21">
        <f t="shared" si="93"/>
        <v>9.8039215686274517</v>
      </c>
      <c r="E558" s="22">
        <f>+VLOOKUP($B558,'Master Data'!$B$22:$W$110,21,FALSE)*$D558</f>
        <v>3.274509803921569</v>
      </c>
      <c r="F558" s="68"/>
      <c r="G558" s="74">
        <f t="shared" si="91"/>
        <v>7</v>
      </c>
      <c r="H558" s="75" t="s">
        <v>109</v>
      </c>
      <c r="I558" s="76">
        <f>+E1045*10</f>
        <v>104.39309462915602</v>
      </c>
      <c r="J558" s="77">
        <f t="shared" si="92"/>
        <v>0.10439309462915602</v>
      </c>
      <c r="K558" s="173" t="s">
        <v>360</v>
      </c>
    </row>
    <row r="559" spans="1:11" ht="20" customHeight="1">
      <c r="A559" s="20">
        <v>6</v>
      </c>
      <c r="B559" s="19" t="s">
        <v>308</v>
      </c>
      <c r="C559" s="18">
        <v>200</v>
      </c>
      <c r="D559" s="21">
        <f t="shared" si="93"/>
        <v>49.019607843137258</v>
      </c>
      <c r="E559" s="22">
        <f>+VLOOKUP($B559,'Master Data'!$B$22:$W$110,21,FALSE)*$D559</f>
        <v>21.058823529411768</v>
      </c>
      <c r="F559" s="68"/>
      <c r="G559" s="74">
        <f t="shared" si="91"/>
        <v>8</v>
      </c>
      <c r="H559" s="75" t="s">
        <v>108</v>
      </c>
      <c r="I559" s="76">
        <f>+E1026*10</f>
        <v>190.95999999999998</v>
      </c>
      <c r="J559" s="77">
        <f t="shared" si="92"/>
        <v>0.19095999999999999</v>
      </c>
    </row>
    <row r="560" spans="1:11" ht="20" customHeight="1">
      <c r="A560" s="20">
        <v>7</v>
      </c>
      <c r="B560" s="19" t="s">
        <v>1</v>
      </c>
      <c r="C560" s="18">
        <v>200</v>
      </c>
      <c r="D560" s="21">
        <f t="shared" si="93"/>
        <v>49.019607843137258</v>
      </c>
      <c r="E560" s="22">
        <f>+VLOOKUP($B560,'Master Data'!$B$22:$W$110,21,FALSE)*$D560</f>
        <v>58.382352941176478</v>
      </c>
      <c r="F560" s="68"/>
      <c r="G560" s="74">
        <f t="shared" si="91"/>
        <v>9</v>
      </c>
      <c r="H560" s="75" t="s">
        <v>228</v>
      </c>
      <c r="I560" s="76">
        <f>+E1103*10</f>
        <v>225.11999999999998</v>
      </c>
      <c r="J560" s="77">
        <f t="shared" si="92"/>
        <v>0.22511999999999999</v>
      </c>
    </row>
    <row r="561" spans="1:10" ht="20" customHeight="1">
      <c r="A561" s="20">
        <v>8</v>
      </c>
      <c r="B561" s="19" t="s">
        <v>2</v>
      </c>
      <c r="C561" s="18">
        <v>500</v>
      </c>
      <c r="D561" s="21">
        <f t="shared" si="93"/>
        <v>122.54901960784314</v>
      </c>
      <c r="E561" s="22">
        <f>+VLOOKUP($B561,'Master Data'!$B$22:$W$110,21,FALSE)*$D561</f>
        <v>23.529411764705884</v>
      </c>
      <c r="F561" s="68"/>
      <c r="G561" s="74">
        <f t="shared" si="91"/>
        <v>10</v>
      </c>
      <c r="H561" s="75" t="s">
        <v>174</v>
      </c>
      <c r="I561" s="76">
        <f>+E1086*10</f>
        <v>201.6</v>
      </c>
      <c r="J561" s="77">
        <f t="shared" si="92"/>
        <v>0.2016</v>
      </c>
    </row>
    <row r="562" spans="1:10" ht="20" customHeight="1">
      <c r="A562" s="20">
        <v>9</v>
      </c>
      <c r="B562" s="19" t="s">
        <v>3</v>
      </c>
      <c r="C562" s="18">
        <v>500</v>
      </c>
      <c r="D562" s="21">
        <f t="shared" si="93"/>
        <v>122.54901960784314</v>
      </c>
      <c r="E562" s="22">
        <f>+VLOOKUP($B562,'Master Data'!$B$22:$W$110,21,FALSE)*$D562</f>
        <v>37.254901960784309</v>
      </c>
      <c r="F562" s="68"/>
      <c r="G562" s="74">
        <f t="shared" si="91"/>
        <v>11</v>
      </c>
      <c r="H562" s="75" t="s">
        <v>176</v>
      </c>
      <c r="I562" s="76">
        <f>+E1094*10</f>
        <v>319.2</v>
      </c>
      <c r="J562" s="77">
        <f t="shared" si="92"/>
        <v>0.31919999999999998</v>
      </c>
    </row>
    <row r="563" spans="1:10" ht="20" customHeight="1">
      <c r="A563" s="20">
        <v>10</v>
      </c>
      <c r="B563" s="19" t="s">
        <v>68</v>
      </c>
      <c r="C563" s="18">
        <v>200</v>
      </c>
      <c r="D563" s="21">
        <f t="shared" si="93"/>
        <v>49.019607843137258</v>
      </c>
      <c r="E563" s="22">
        <f>+VLOOKUP($B563,'Master Data'!$B$22:$W$110,21,FALSE)*$D563</f>
        <v>22.254901960784316</v>
      </c>
      <c r="F563" s="68"/>
      <c r="G563" s="74">
        <f t="shared" si="91"/>
        <v>12</v>
      </c>
      <c r="H563" s="320" t="s">
        <v>452</v>
      </c>
      <c r="I563" s="76">
        <f>+E578*10</f>
        <v>928.78987861811402</v>
      </c>
      <c r="J563" s="77">
        <f>I563/1000</f>
        <v>0.92878987861811402</v>
      </c>
    </row>
    <row r="564" spans="1:10" ht="20" customHeight="1">
      <c r="A564" s="20">
        <v>11</v>
      </c>
      <c r="B564" s="235" t="s">
        <v>435</v>
      </c>
      <c r="C564" s="18">
        <v>200</v>
      </c>
      <c r="D564" s="21">
        <f t="shared" si="93"/>
        <v>49.019607843137258</v>
      </c>
      <c r="E564" s="22">
        <f>+VLOOKUP($B564,'Master Data'!$B$22:$W$110,21,FALSE)*$D564</f>
        <v>16.862745098039216</v>
      </c>
      <c r="F564" s="68"/>
      <c r="G564" s="74">
        <f t="shared" si="91"/>
        <v>13</v>
      </c>
      <c r="H564" s="75" t="s">
        <v>206</v>
      </c>
      <c r="I564" s="76">
        <f>+E703*10</f>
        <v>231.4985569214324</v>
      </c>
      <c r="J564" s="77">
        <f t="shared" si="92"/>
        <v>0.2314985569214324</v>
      </c>
    </row>
    <row r="565" spans="1:10" ht="20" customHeight="1">
      <c r="A565" s="20">
        <v>12</v>
      </c>
      <c r="B565" s="19" t="s">
        <v>544</v>
      </c>
      <c r="C565" s="18">
        <v>200</v>
      </c>
      <c r="D565" s="21">
        <f t="shared" si="93"/>
        <v>49.019607843137258</v>
      </c>
      <c r="E565" s="22">
        <f>+VLOOKUP($B565,'Master Data'!$B$22:$W$110,21,FALSE)*$D565</f>
        <v>153.97058823529412</v>
      </c>
      <c r="F565" s="68"/>
      <c r="G565" s="74">
        <f t="shared" si="91"/>
        <v>14</v>
      </c>
      <c r="H565" s="75" t="s">
        <v>18</v>
      </c>
      <c r="I565" s="76">
        <f>+E1070*10</f>
        <v>571.41498187092111</v>
      </c>
      <c r="J565" s="77">
        <f t="shared" si="92"/>
        <v>0.5714149818709211</v>
      </c>
    </row>
    <row r="566" spans="1:10" ht="20" customHeight="1">
      <c r="A566" s="20">
        <v>13</v>
      </c>
      <c r="B566" s="19" t="s">
        <v>36</v>
      </c>
      <c r="C566" s="18">
        <v>400</v>
      </c>
      <c r="D566" s="21">
        <f t="shared" si="93"/>
        <v>98.039215686274517</v>
      </c>
      <c r="E566" s="22">
        <f>+VLOOKUP($B566,'Master Data'!$B$22:$W$110,21,FALSE)*$D566</f>
        <v>39.60784313725491</v>
      </c>
      <c r="F566" s="68"/>
      <c r="G566" s="74">
        <f t="shared" si="91"/>
        <v>15</v>
      </c>
      <c r="H566" s="75" t="s">
        <v>214</v>
      </c>
      <c r="I566" s="76">
        <f>+E827*10</f>
        <v>125.19</v>
      </c>
      <c r="J566" s="77">
        <f t="shared" si="92"/>
        <v>0.12519</v>
      </c>
    </row>
    <row r="567" spans="1:10" ht="20" customHeight="1">
      <c r="A567" s="20">
        <v>14</v>
      </c>
      <c r="B567" s="19" t="s">
        <v>16</v>
      </c>
      <c r="C567" s="18">
        <v>100</v>
      </c>
      <c r="D567" s="21">
        <f t="shared" si="93"/>
        <v>24.509803921568629</v>
      </c>
      <c r="E567" s="22">
        <f>+VLOOKUP($B567,'Master Data'!$B$22:$W$110,21,FALSE)*$D567</f>
        <v>67.181372549019613</v>
      </c>
      <c r="F567" s="68"/>
      <c r="G567" s="74">
        <f t="shared" si="91"/>
        <v>16</v>
      </c>
      <c r="H567" s="75" t="s">
        <v>208</v>
      </c>
      <c r="I567" s="76">
        <f>+E733*10</f>
        <v>210.83699999999999</v>
      </c>
      <c r="J567" s="77">
        <f t="shared" si="92"/>
        <v>0.210837</v>
      </c>
    </row>
    <row r="568" spans="1:10" ht="20" customHeight="1">
      <c r="A568" s="20">
        <v>15</v>
      </c>
      <c r="B568" s="19" t="s">
        <v>14</v>
      </c>
      <c r="C568" s="18">
        <v>200</v>
      </c>
      <c r="D568" s="21">
        <f t="shared" si="93"/>
        <v>49.019607843137258</v>
      </c>
      <c r="E568" s="22">
        <f>+VLOOKUP($B568,'Master Data'!$B$22:$W$110,21,FALSE)*$D568</f>
        <v>123.91223155929039</v>
      </c>
      <c r="F568" s="68"/>
      <c r="G568" s="74">
        <f t="shared" si="91"/>
        <v>17</v>
      </c>
      <c r="H568" s="75" t="s">
        <v>6</v>
      </c>
      <c r="I568" s="76">
        <f>+E871*10</f>
        <v>481.60920353982294</v>
      </c>
      <c r="J568" s="77">
        <f t="shared" si="92"/>
        <v>0.48160920353982295</v>
      </c>
    </row>
    <row r="569" spans="1:10" ht="20" customHeight="1">
      <c r="A569" s="20">
        <v>16</v>
      </c>
      <c r="B569" s="19" t="s">
        <v>12</v>
      </c>
      <c r="C569" s="18">
        <v>40</v>
      </c>
      <c r="D569" s="21">
        <f t="shared" si="93"/>
        <v>9.8039215686274517</v>
      </c>
      <c r="E569" s="22">
        <f>+VLOOKUP($B569,'Master Data'!$B$22:$W$110,21,FALSE)*$D569</f>
        <v>9.2254901960784323</v>
      </c>
      <c r="F569" s="68"/>
      <c r="G569" s="74">
        <f t="shared" si="91"/>
        <v>18</v>
      </c>
      <c r="H569" s="75" t="s">
        <v>210</v>
      </c>
      <c r="I569" s="76">
        <f>+E761*10</f>
        <v>188.99548201543615</v>
      </c>
      <c r="J569" s="77">
        <f t="shared" si="92"/>
        <v>0.18899548201543614</v>
      </c>
    </row>
    <row r="570" spans="1:10" ht="20" customHeight="1">
      <c r="A570" s="20">
        <v>17</v>
      </c>
      <c r="B570" s="19" t="s">
        <v>37</v>
      </c>
      <c r="C570" s="18">
        <v>500</v>
      </c>
      <c r="D570" s="21">
        <f t="shared" si="93"/>
        <v>122.54901960784314</v>
      </c>
      <c r="E570" s="22">
        <f>+VLOOKUP($B570,'Master Data'!$B$22:$W$110,21,FALSE)*$D570</f>
        <v>74.019607843137251</v>
      </c>
      <c r="F570" s="68"/>
      <c r="G570" s="74">
        <f t="shared" si="91"/>
        <v>19</v>
      </c>
      <c r="H570" s="75" t="s">
        <v>7</v>
      </c>
      <c r="I570" s="76">
        <f>+E846*10</f>
        <v>1287.9825242718446</v>
      </c>
      <c r="J570" s="77">
        <f t="shared" si="92"/>
        <v>1.2879825242718446</v>
      </c>
    </row>
    <row r="571" spans="1:10" ht="20" customHeight="1">
      <c r="A571" s="20">
        <v>18</v>
      </c>
      <c r="B571" s="19" t="s">
        <v>119</v>
      </c>
      <c r="C571" s="18">
        <v>20</v>
      </c>
      <c r="D571" s="21">
        <f t="shared" si="93"/>
        <v>4.9019607843137258</v>
      </c>
      <c r="E571" s="22">
        <f>+VLOOKUP($B571,'Master Data'!$B$22:$W$110,21,FALSE)*$D571</f>
        <v>4.1225490196078436</v>
      </c>
      <c r="F571" s="68"/>
      <c r="G571" s="74">
        <f t="shared" si="91"/>
        <v>20</v>
      </c>
      <c r="H571" s="75" t="s">
        <v>212</v>
      </c>
      <c r="I571" s="76">
        <f>+E801*10</f>
        <v>281.01194061624653</v>
      </c>
      <c r="J571" s="77">
        <f t="shared" si="92"/>
        <v>0.28101194061624651</v>
      </c>
    </row>
    <row r="572" spans="1:10" ht="20" customHeight="1">
      <c r="A572" s="20">
        <v>19</v>
      </c>
      <c r="B572" s="19" t="s">
        <v>117</v>
      </c>
      <c r="C572" s="18">
        <v>100</v>
      </c>
      <c r="D572" s="21">
        <f t="shared" si="93"/>
        <v>24.509803921568629</v>
      </c>
      <c r="E572" s="22">
        <f>+VLOOKUP($B572,'Master Data'!$B$22:$W$110,21,FALSE)*$D572</f>
        <v>9.4117647058823533</v>
      </c>
      <c r="F572" s="68"/>
      <c r="G572" s="74">
        <f t="shared" si="91"/>
        <v>21</v>
      </c>
      <c r="H572" s="75" t="s">
        <v>76</v>
      </c>
      <c r="I572" s="76">
        <f>+E929*10</f>
        <v>424.11285714285714</v>
      </c>
      <c r="J572" s="77">
        <f t="shared" si="92"/>
        <v>0.42411285714285712</v>
      </c>
    </row>
    <row r="573" spans="1:10" ht="20" customHeight="1">
      <c r="A573" s="20">
        <v>20</v>
      </c>
      <c r="B573" s="19" t="s">
        <v>13</v>
      </c>
      <c r="C573" s="18">
        <v>20</v>
      </c>
      <c r="D573" s="21">
        <f t="shared" si="93"/>
        <v>4.9019607843137258</v>
      </c>
      <c r="E573" s="22">
        <f>+VLOOKUP($B573,'Master Data'!$B$22:$W$110,21,FALSE)*$D573</f>
        <v>2.547058823529412</v>
      </c>
      <c r="F573" s="68"/>
      <c r="G573" s="74">
        <f t="shared" si="91"/>
        <v>22</v>
      </c>
      <c r="H573" s="75" t="s">
        <v>195</v>
      </c>
      <c r="I573" s="76">
        <f>+E622*10</f>
        <v>246.4733333333333</v>
      </c>
      <c r="J573" s="77">
        <f t="shared" si="92"/>
        <v>0.24647333333333329</v>
      </c>
    </row>
    <row r="574" spans="1:10" ht="20" customHeight="1">
      <c r="A574" s="20">
        <v>21</v>
      </c>
      <c r="B574" s="19" t="s">
        <v>17</v>
      </c>
      <c r="C574" s="18">
        <v>60</v>
      </c>
      <c r="D574" s="21">
        <f t="shared" si="93"/>
        <v>14.705882352941176</v>
      </c>
      <c r="E574" s="22">
        <f>+VLOOKUP($B574,'Master Data'!$B$22:$W$110,21,FALSE)*$D574</f>
        <v>7.1117647058823534</v>
      </c>
      <c r="F574" s="68"/>
      <c r="G574" s="74">
        <f t="shared" si="91"/>
        <v>23</v>
      </c>
      <c r="H574" s="75" t="s">
        <v>199</v>
      </c>
      <c r="I574" s="76">
        <f>+E649*10</f>
        <v>784.18858654572944</v>
      </c>
      <c r="J574" s="77">
        <f t="shared" si="92"/>
        <v>0.78418858654572943</v>
      </c>
    </row>
    <row r="575" spans="1:10" ht="20" customHeight="1">
      <c r="A575" s="20"/>
      <c r="B575" s="24" t="s">
        <v>72</v>
      </c>
      <c r="C575" s="18">
        <f>SUM(C554:C574)</f>
        <v>4080</v>
      </c>
      <c r="D575" s="21">
        <f>SUM(D554:D574)</f>
        <v>999.99999999999989</v>
      </c>
      <c r="E575" s="22">
        <f>SUM(E554:E574)</f>
        <v>844.35443510737639</v>
      </c>
      <c r="F575" s="68"/>
      <c r="G575" s="74">
        <f t="shared" si="91"/>
        <v>24</v>
      </c>
      <c r="H575" s="75" t="s">
        <v>197</v>
      </c>
      <c r="I575" s="76">
        <f>+E674*10</f>
        <v>353.88760389036241</v>
      </c>
      <c r="J575" s="77">
        <f t="shared" si="92"/>
        <v>0.35388760389036239</v>
      </c>
    </row>
    <row r="576" spans="1:10" ht="20" customHeight="1">
      <c r="A576" s="20"/>
      <c r="B576" s="24" t="s">
        <v>451</v>
      </c>
      <c r="C576" s="18"/>
      <c r="D576" s="21"/>
      <c r="E576" s="22">
        <f>E575*($K$555/100)</f>
        <v>84.435443510737642</v>
      </c>
      <c r="F576" s="68"/>
      <c r="G576" s="74">
        <f t="shared" si="91"/>
        <v>25</v>
      </c>
      <c r="H576" s="75" t="s">
        <v>452</v>
      </c>
      <c r="I576" s="76">
        <f>+E578*10</f>
        <v>928.78987861811402</v>
      </c>
      <c r="J576" s="77">
        <f t="shared" si="92"/>
        <v>0.92878987861811402</v>
      </c>
    </row>
    <row r="577" spans="1:11" ht="20" customHeight="1">
      <c r="A577" s="15"/>
      <c r="B577" s="24" t="s">
        <v>74</v>
      </c>
      <c r="C577" s="17"/>
      <c r="D577" s="25"/>
      <c r="E577" s="22">
        <f>E575+E576</f>
        <v>928.78987861811402</v>
      </c>
      <c r="F577" s="69"/>
      <c r="G577" s="74">
        <f t="shared" si="91"/>
        <v>26</v>
      </c>
      <c r="H577" s="320" t="s">
        <v>69</v>
      </c>
      <c r="I577" s="76">
        <f>+K636*10</f>
        <v>1905.2031346797171</v>
      </c>
      <c r="J577" s="77">
        <f t="shared" si="92"/>
        <v>1.9052031346797171</v>
      </c>
    </row>
    <row r="578" spans="1:11" ht="20" customHeight="1">
      <c r="A578" s="20"/>
      <c r="B578" s="27" t="s">
        <v>61</v>
      </c>
      <c r="C578" s="28"/>
      <c r="D578" s="28"/>
      <c r="E578" s="70">
        <f>E577/10</f>
        <v>92.878987861811396</v>
      </c>
      <c r="F578" s="68"/>
      <c r="G578" s="74">
        <f t="shared" si="91"/>
        <v>27</v>
      </c>
      <c r="H578" s="320" t="s">
        <v>554</v>
      </c>
      <c r="I578" s="76">
        <f>+K610*10</f>
        <v>456.46740740740745</v>
      </c>
      <c r="J578" s="77">
        <f t="shared" si="92"/>
        <v>0.45646740740740743</v>
      </c>
    </row>
    <row r="579" spans="1:11" ht="20" customHeight="1">
      <c r="A579" s="30"/>
      <c r="B579" s="31"/>
      <c r="C579" s="16"/>
      <c r="D579" s="16"/>
      <c r="E579" s="32"/>
      <c r="F579" s="14"/>
      <c r="G579" s="74">
        <f t="shared" si="91"/>
        <v>28</v>
      </c>
      <c r="H579" s="354" t="s">
        <v>540</v>
      </c>
      <c r="I579" s="76">
        <f>+E1111*10</f>
        <v>1056.3</v>
      </c>
      <c r="J579" s="77">
        <f t="shared" si="92"/>
        <v>1.0563</v>
      </c>
    </row>
    <row r="580" spans="1:11" ht="20" customHeight="1">
      <c r="A580" s="30"/>
      <c r="B580" s="31"/>
      <c r="C580" s="16"/>
      <c r="D580" s="16"/>
      <c r="E580" s="32"/>
      <c r="F580" s="14"/>
      <c r="G580" s="74">
        <f t="shared" si="91"/>
        <v>29</v>
      </c>
      <c r="H580" s="354" t="s">
        <v>555</v>
      </c>
      <c r="I580" s="76">
        <f>+E1070*10</f>
        <v>571.41498187092111</v>
      </c>
      <c r="J580" s="77">
        <f t="shared" si="92"/>
        <v>0.5714149818709211</v>
      </c>
    </row>
    <row r="581" spans="1:11" ht="20" customHeight="1">
      <c r="A581" s="381" t="s">
        <v>4</v>
      </c>
      <c r="B581" s="381"/>
      <c r="C581" s="381"/>
      <c r="D581" s="381"/>
      <c r="E581" s="381"/>
      <c r="F581" s="14"/>
    </row>
    <row r="582" spans="1:11" ht="20" customHeight="1">
      <c r="A582" s="15" t="s">
        <v>27</v>
      </c>
      <c r="B582" s="15" t="s">
        <v>28</v>
      </c>
      <c r="C582" s="15" t="s">
        <v>29</v>
      </c>
      <c r="D582" s="15" t="s">
        <v>29</v>
      </c>
      <c r="E582" s="15" t="s">
        <v>31</v>
      </c>
      <c r="F582" s="14"/>
    </row>
    <row r="583" spans="1:11" ht="20" customHeight="1">
      <c r="A583" s="15"/>
      <c r="B583" s="15"/>
      <c r="C583" s="15" t="s">
        <v>32</v>
      </c>
      <c r="D583" s="15" t="s">
        <v>33</v>
      </c>
      <c r="E583" s="15"/>
      <c r="F583" s="14"/>
    </row>
    <row r="584" spans="1:11" ht="20" customHeight="1">
      <c r="A584" s="20">
        <v>1</v>
      </c>
      <c r="B584" s="19" t="s">
        <v>158</v>
      </c>
      <c r="C584" s="18">
        <v>50</v>
      </c>
      <c r="D584" s="21">
        <f t="shared" ref="D584:D594" si="94">C584*1000/$C$595</f>
        <v>51.921079958463139</v>
      </c>
      <c r="E584" s="22">
        <f>+VLOOKUP($B584,'Master Data'!$B$22:$W$110,21,FALSE)*$D584</f>
        <v>9.0134994807892017</v>
      </c>
      <c r="F584" s="14"/>
      <c r="G584" s="380" t="s">
        <v>554</v>
      </c>
      <c r="H584" s="380"/>
      <c r="I584" s="380"/>
      <c r="J584" s="380"/>
      <c r="K584" s="380"/>
    </row>
    <row r="585" spans="1:11" ht="20" customHeight="1">
      <c r="A585" s="20">
        <v>2</v>
      </c>
      <c r="B585" s="19" t="s">
        <v>15</v>
      </c>
      <c r="C585" s="18">
        <v>100</v>
      </c>
      <c r="D585" s="21">
        <f t="shared" si="94"/>
        <v>103.84215991692628</v>
      </c>
      <c r="E585" s="22">
        <f>+VLOOKUP($B585,'Master Data'!$B$22:$W$110,21,FALSE)*$D585</f>
        <v>203.38525441329179</v>
      </c>
      <c r="F585" s="14"/>
      <c r="G585" s="39" t="s">
        <v>276</v>
      </c>
      <c r="H585" s="39" t="s">
        <v>28</v>
      </c>
      <c r="I585" s="15" t="s">
        <v>29</v>
      </c>
      <c r="J585" s="15" t="s">
        <v>29</v>
      </c>
      <c r="K585" s="15" t="s">
        <v>31</v>
      </c>
    </row>
    <row r="586" spans="1:11" ht="20" customHeight="1">
      <c r="A586" s="20">
        <v>3</v>
      </c>
      <c r="B586" s="19" t="s">
        <v>161</v>
      </c>
      <c r="C586" s="18">
        <v>30</v>
      </c>
      <c r="D586" s="21">
        <f t="shared" si="94"/>
        <v>31.152647975077883</v>
      </c>
      <c r="E586" s="22">
        <f>+VLOOKUP($B586,'Master Data'!$B$22:$W$110,21,FALSE)*$D586</f>
        <v>19.034267912772588</v>
      </c>
      <c r="F586" s="14"/>
      <c r="G586" s="80"/>
      <c r="H586" s="80"/>
      <c r="I586" s="15" t="s">
        <v>32</v>
      </c>
      <c r="J586" s="15" t="s">
        <v>33</v>
      </c>
      <c r="K586" s="80"/>
    </row>
    <row r="587" spans="1:11" ht="20" customHeight="1">
      <c r="A587" s="20">
        <v>4</v>
      </c>
      <c r="B587" s="19" t="s">
        <v>288</v>
      </c>
      <c r="C587" s="18">
        <v>50</v>
      </c>
      <c r="D587" s="21">
        <f t="shared" si="94"/>
        <v>51.921079958463139</v>
      </c>
      <c r="E587" s="22">
        <f>+VLOOKUP($B587,'Master Data'!$B$22:$W$110,21,FALSE)*$D587</f>
        <v>57.568115512040755</v>
      </c>
      <c r="F587" s="14"/>
      <c r="G587" s="23">
        <v>1</v>
      </c>
      <c r="H587" s="19" t="s">
        <v>158</v>
      </c>
      <c r="I587" s="18">
        <v>10</v>
      </c>
      <c r="J587" s="21">
        <f t="shared" ref="J587:J606" si="95">I587*1000/$I$607</f>
        <v>24.691358024691358</v>
      </c>
      <c r="K587" s="22">
        <f>+VLOOKUP($H587,'Master Data'!$B$22:$W$110,21,FALSE)*$J587</f>
        <v>4.2864197530864194</v>
      </c>
    </row>
    <row r="588" spans="1:11" ht="20" customHeight="1">
      <c r="A588" s="20">
        <v>5</v>
      </c>
      <c r="B588" s="19" t="s">
        <v>308</v>
      </c>
      <c r="C588" s="18">
        <v>100</v>
      </c>
      <c r="D588" s="21">
        <f t="shared" si="94"/>
        <v>103.84215991692628</v>
      </c>
      <c r="E588" s="22">
        <f>+VLOOKUP($B588,'Master Data'!$B$22:$W$110,21,FALSE)*$D588</f>
        <v>44.610591900311533</v>
      </c>
      <c r="F588" s="14"/>
      <c r="G588" s="23">
        <v>2</v>
      </c>
      <c r="H588" s="19" t="s">
        <v>15</v>
      </c>
      <c r="I588" s="18">
        <v>10</v>
      </c>
      <c r="J588" s="21">
        <f t="shared" si="95"/>
        <v>24.691358024691358</v>
      </c>
      <c r="K588" s="22">
        <f>+VLOOKUP($H588,'Master Data'!$B$22:$W$110,21,FALSE)*$J588</f>
        <v>48.360493827160489</v>
      </c>
    </row>
    <row r="589" spans="1:11" ht="20" customHeight="1">
      <c r="A589" s="20">
        <v>6</v>
      </c>
      <c r="B589" s="19" t="s">
        <v>1</v>
      </c>
      <c r="C589" s="18">
        <v>80</v>
      </c>
      <c r="D589" s="21">
        <f t="shared" si="94"/>
        <v>83.073727933541022</v>
      </c>
      <c r="E589" s="22">
        <f>+VLOOKUP($B589,'Master Data'!$B$22:$W$110,21,FALSE)*$D589</f>
        <v>98.940809968847361</v>
      </c>
      <c r="F589" s="14"/>
      <c r="G589" s="23">
        <v>3</v>
      </c>
      <c r="H589" s="19" t="s">
        <v>0</v>
      </c>
      <c r="I589" s="18">
        <v>20</v>
      </c>
      <c r="J589" s="21">
        <f t="shared" si="95"/>
        <v>49.382716049382715</v>
      </c>
      <c r="K589" s="22">
        <f>+VLOOKUP($H589,'Master Data'!$B$22:$W$110,21,FALSE)*$J589</f>
        <v>43.506172839506171</v>
      </c>
    </row>
    <row r="590" spans="1:11" ht="20" customHeight="1">
      <c r="A590" s="20">
        <v>7</v>
      </c>
      <c r="B590" s="19" t="s">
        <v>544</v>
      </c>
      <c r="C590" s="18">
        <v>350</v>
      </c>
      <c r="D590" s="21">
        <f t="shared" si="94"/>
        <v>363.44755970924194</v>
      </c>
      <c r="E590" s="22">
        <f>+VLOOKUP($B590,'Master Data'!$B$22:$W$110,21,FALSE)*$D590</f>
        <v>1141.5887850467288</v>
      </c>
      <c r="F590" s="14"/>
      <c r="G590" s="23">
        <v>4</v>
      </c>
      <c r="H590" s="19" t="s">
        <v>288</v>
      </c>
      <c r="I590" s="18">
        <v>40</v>
      </c>
      <c r="J590" s="21">
        <f t="shared" si="95"/>
        <v>98.76543209876543</v>
      </c>
      <c r="K590" s="22">
        <f>+VLOOKUP($H590,'Master Data'!$B$22:$W$110,21,FALSE)*$J590</f>
        <v>109.50734861845973</v>
      </c>
    </row>
    <row r="591" spans="1:11" ht="20" customHeight="1">
      <c r="A591" s="20">
        <v>8</v>
      </c>
      <c r="B591" s="19" t="s">
        <v>14</v>
      </c>
      <c r="C591" s="18">
        <v>50</v>
      </c>
      <c r="D591" s="21">
        <f t="shared" si="94"/>
        <v>51.921079958463139</v>
      </c>
      <c r="E591" s="22">
        <f>+VLOOKUP($B591,'Master Data'!$B$22:$W$110,21,FALSE)*$D591</f>
        <v>131.24660040547892</v>
      </c>
      <c r="F591" s="14"/>
      <c r="G591" s="23">
        <v>5</v>
      </c>
      <c r="H591" s="19" t="s">
        <v>308</v>
      </c>
      <c r="I591" s="18">
        <v>10</v>
      </c>
      <c r="J591" s="21">
        <f t="shared" si="95"/>
        <v>24.691358024691358</v>
      </c>
      <c r="K591" s="22">
        <f>+VLOOKUP($H591,'Master Data'!$B$22:$W$110,21,FALSE)*$J591</f>
        <v>10.607407407407408</v>
      </c>
    </row>
    <row r="592" spans="1:11" ht="20" customHeight="1">
      <c r="A592" s="20">
        <v>9</v>
      </c>
      <c r="B592" s="19" t="s">
        <v>16</v>
      </c>
      <c r="C592" s="18">
        <v>100</v>
      </c>
      <c r="D592" s="21">
        <f t="shared" si="94"/>
        <v>103.84215991692628</v>
      </c>
      <c r="E592" s="22">
        <f>+VLOOKUP($B592,'Master Data'!$B$22:$W$110,21,FALSE)*$D592</f>
        <v>284.63136033229495</v>
      </c>
      <c r="F592" s="14"/>
      <c r="G592" s="23">
        <v>6</v>
      </c>
      <c r="H592" s="19" t="s">
        <v>1</v>
      </c>
      <c r="I592" s="18">
        <v>20</v>
      </c>
      <c r="J592" s="21">
        <f t="shared" si="95"/>
        <v>49.382716049382715</v>
      </c>
      <c r="K592" s="22">
        <f>+VLOOKUP($H592,'Master Data'!$B$22:$W$110,21,FALSE)*$J592</f>
        <v>58.814814814814817</v>
      </c>
    </row>
    <row r="593" spans="1:11" ht="20" customHeight="1">
      <c r="A593" s="20">
        <v>10</v>
      </c>
      <c r="B593" s="19" t="s">
        <v>12</v>
      </c>
      <c r="C593" s="18">
        <v>3</v>
      </c>
      <c r="D593" s="21">
        <f t="shared" si="94"/>
        <v>3.1152647975077881</v>
      </c>
      <c r="E593" s="22">
        <f>+VLOOKUP($B593,'Master Data'!$B$22:$W$110,21,FALSE)*$D593</f>
        <v>2.9314641744548284</v>
      </c>
      <c r="F593" s="14"/>
      <c r="G593" s="23">
        <v>7</v>
      </c>
      <c r="H593" s="19" t="s">
        <v>2</v>
      </c>
      <c r="I593" s="18">
        <v>80</v>
      </c>
      <c r="J593" s="21">
        <f t="shared" si="95"/>
        <v>197.53086419753086</v>
      </c>
      <c r="K593" s="22">
        <f>+VLOOKUP($H593,'Master Data'!$B$22:$W$110,21,FALSE)*$J593</f>
        <v>37.925925925925924</v>
      </c>
    </row>
    <row r="594" spans="1:11" ht="20" customHeight="1">
      <c r="A594" s="20">
        <v>11</v>
      </c>
      <c r="B594" s="19" t="s">
        <v>117</v>
      </c>
      <c r="C594" s="18">
        <v>50</v>
      </c>
      <c r="D594" s="21">
        <f t="shared" si="94"/>
        <v>51.921079958463139</v>
      </c>
      <c r="E594" s="22">
        <f>+VLOOKUP($B594,'Master Data'!$B$22:$W$110,21,FALSE)*$D594</f>
        <v>19.937694704049846</v>
      </c>
      <c r="F594" s="14"/>
      <c r="G594" s="23">
        <v>8</v>
      </c>
      <c r="H594" s="19" t="s">
        <v>3</v>
      </c>
      <c r="I594" s="18">
        <v>40</v>
      </c>
      <c r="J594" s="21">
        <f t="shared" si="95"/>
        <v>98.76543209876543</v>
      </c>
      <c r="K594" s="22">
        <f>+VLOOKUP($H594,'Master Data'!$B$22:$W$110,21,FALSE)*$J594</f>
        <v>30.02469135802469</v>
      </c>
    </row>
    <row r="595" spans="1:11" ht="20" customHeight="1">
      <c r="A595" s="20"/>
      <c r="B595" s="24" t="s">
        <v>72</v>
      </c>
      <c r="C595" s="17">
        <f>SUM(C584:C594)</f>
        <v>963</v>
      </c>
      <c r="D595" s="25">
        <f>SUM(D584:D594)</f>
        <v>999.99999999999989</v>
      </c>
      <c r="E595" s="22">
        <f>SUM(E584:E594)</f>
        <v>2012.8884438510604</v>
      </c>
      <c r="F595" s="14"/>
      <c r="G595" s="23">
        <v>9</v>
      </c>
      <c r="H595" s="19" t="s">
        <v>86</v>
      </c>
      <c r="I595" s="18">
        <v>0</v>
      </c>
      <c r="J595" s="21">
        <f t="shared" si="95"/>
        <v>0</v>
      </c>
      <c r="K595" s="22">
        <f>+VLOOKUP($H595,'Master Data'!$B$22:$W$110,21,FALSE)*$J595</f>
        <v>0</v>
      </c>
    </row>
    <row r="596" spans="1:11" ht="20" customHeight="1">
      <c r="A596" s="20"/>
      <c r="B596" s="24" t="s">
        <v>451</v>
      </c>
      <c r="C596" s="18"/>
      <c r="D596" s="21"/>
      <c r="E596" s="22">
        <f>E595*($K$555/100)</f>
        <v>201.28884438510605</v>
      </c>
      <c r="F596" s="14"/>
      <c r="G596" s="23">
        <v>10</v>
      </c>
      <c r="H596" s="19" t="s">
        <v>435</v>
      </c>
      <c r="I596" s="18">
        <v>20</v>
      </c>
      <c r="J596" s="21">
        <f t="shared" si="95"/>
        <v>49.382716049382715</v>
      </c>
      <c r="K596" s="22">
        <f>+VLOOKUP($H596,'Master Data'!$B$22:$W$110,21,FALSE)*$J596</f>
        <v>16.987654320987652</v>
      </c>
    </row>
    <row r="597" spans="1:11" ht="20" customHeight="1">
      <c r="A597" s="20"/>
      <c r="B597" s="24" t="s">
        <v>74</v>
      </c>
      <c r="C597" s="17"/>
      <c r="D597" s="25"/>
      <c r="E597" s="22">
        <f>E595+E596</f>
        <v>2214.1772882361665</v>
      </c>
      <c r="F597" s="14"/>
      <c r="G597" s="23">
        <v>11</v>
      </c>
      <c r="H597" s="19" t="s">
        <v>35</v>
      </c>
      <c r="I597" s="18">
        <v>20</v>
      </c>
      <c r="J597" s="21">
        <f t="shared" si="95"/>
        <v>49.382716049382715</v>
      </c>
      <c r="K597" s="22">
        <f>+VLOOKUP($H597,'Master Data'!$B$22:$W$110,21,FALSE)*$J597</f>
        <v>155.11111111111111</v>
      </c>
    </row>
    <row r="598" spans="1:11" ht="20" customHeight="1">
      <c r="A598" s="20"/>
      <c r="B598" s="27" t="s">
        <v>61</v>
      </c>
      <c r="C598" s="28"/>
      <c r="D598" s="28"/>
      <c r="E598" s="29">
        <f>E597/10</f>
        <v>221.41772882361664</v>
      </c>
      <c r="F598" s="14"/>
      <c r="G598" s="23">
        <v>12</v>
      </c>
      <c r="H598" s="354" t="s">
        <v>119</v>
      </c>
      <c r="I598" s="18">
        <v>0</v>
      </c>
      <c r="J598" s="21">
        <f t="shared" si="95"/>
        <v>0</v>
      </c>
      <c r="K598" s="22">
        <f>+VLOOKUP($H598,'Master Data'!$B$22:$W$110,21,FALSE)*$J598</f>
        <v>0</v>
      </c>
    </row>
    <row r="599" spans="1:11" ht="20" customHeight="1">
      <c r="A599" s="30"/>
      <c r="B599" s="33"/>
      <c r="C599" s="16"/>
      <c r="D599" s="16"/>
      <c r="E599" s="32"/>
      <c r="F599" s="14"/>
      <c r="G599" s="23">
        <v>13</v>
      </c>
      <c r="H599" s="19" t="s">
        <v>16</v>
      </c>
      <c r="I599" s="18">
        <v>20</v>
      </c>
      <c r="J599" s="21">
        <f t="shared" si="95"/>
        <v>49.382716049382715</v>
      </c>
      <c r="K599" s="22">
        <f>+VLOOKUP($H599,'Master Data'!$B$22:$W$110,21,FALSE)*$J599</f>
        <v>135.35802469135803</v>
      </c>
    </row>
    <row r="600" spans="1:11" ht="20" customHeight="1">
      <c r="A600" s="30"/>
      <c r="B600" s="31"/>
      <c r="C600" s="16"/>
      <c r="D600" s="16"/>
      <c r="E600" s="32"/>
      <c r="F600" s="14"/>
      <c r="G600" s="23">
        <v>14</v>
      </c>
      <c r="H600" s="19" t="s">
        <v>12</v>
      </c>
      <c r="I600" s="18">
        <v>5</v>
      </c>
      <c r="J600" s="21">
        <f t="shared" si="95"/>
        <v>12.345679012345679</v>
      </c>
      <c r="K600" s="22">
        <f>+VLOOKUP($H600,'Master Data'!$B$22:$W$110,21,FALSE)*$J600</f>
        <v>11.617283950617283</v>
      </c>
    </row>
    <row r="601" spans="1:11" ht="20" customHeight="1">
      <c r="A601" s="381" t="s">
        <v>38</v>
      </c>
      <c r="B601" s="381"/>
      <c r="C601" s="381"/>
      <c r="D601" s="381"/>
      <c r="E601" s="381"/>
      <c r="F601" s="14"/>
      <c r="G601" s="23">
        <v>15</v>
      </c>
      <c r="H601" s="354" t="s">
        <v>181</v>
      </c>
      <c r="I601" s="18">
        <v>30</v>
      </c>
      <c r="J601" s="21">
        <f t="shared" si="95"/>
        <v>74.074074074074076</v>
      </c>
      <c r="K601" s="22">
        <f>+VLOOKUP($H601,'Master Data'!$B$22:$W$110,21,FALSE)*$J601</f>
        <v>21.185185185185183</v>
      </c>
    </row>
    <row r="602" spans="1:11" ht="20" customHeight="1">
      <c r="A602" s="15" t="s">
        <v>27</v>
      </c>
      <c r="B602" s="15" t="s">
        <v>28</v>
      </c>
      <c r="C602" s="15" t="s">
        <v>29</v>
      </c>
      <c r="D602" s="15" t="s">
        <v>29</v>
      </c>
      <c r="E602" s="15" t="s">
        <v>31</v>
      </c>
      <c r="F602" s="14"/>
      <c r="G602" s="23">
        <v>16</v>
      </c>
      <c r="H602" s="354" t="s">
        <v>161</v>
      </c>
      <c r="I602" s="18">
        <v>20</v>
      </c>
      <c r="J602" s="21">
        <f t="shared" si="95"/>
        <v>49.382716049382715</v>
      </c>
      <c r="K602" s="22">
        <f>+VLOOKUP($H602,'Master Data'!$B$22:$W$110,21,FALSE)*$J602</f>
        <v>30.172839506172838</v>
      </c>
    </row>
    <row r="603" spans="1:11" ht="20" customHeight="1">
      <c r="A603" s="15"/>
      <c r="B603" s="15"/>
      <c r="C603" s="15" t="s">
        <v>32</v>
      </c>
      <c r="D603" s="15" t="s">
        <v>33</v>
      </c>
      <c r="E603" s="15"/>
      <c r="F603" s="16"/>
      <c r="G603" s="23">
        <v>17</v>
      </c>
      <c r="H603" s="354" t="s">
        <v>47</v>
      </c>
      <c r="I603" s="18">
        <v>20</v>
      </c>
      <c r="J603" s="21">
        <f t="shared" si="95"/>
        <v>49.382716049382715</v>
      </c>
      <c r="K603" s="22">
        <f>+VLOOKUP($H603,'Master Data'!$B$22:$W$110,21,FALSE)*$J603</f>
        <v>1.5802469135802468</v>
      </c>
    </row>
    <row r="604" spans="1:11" ht="20" customHeight="1">
      <c r="A604" s="20">
        <v>1</v>
      </c>
      <c r="B604" s="19" t="s">
        <v>19</v>
      </c>
      <c r="C604" s="34">
        <v>6</v>
      </c>
      <c r="D604" s="21">
        <f t="shared" ref="D604:D618" si="96">C604*1000/$C$619</f>
        <v>19.047619047619047</v>
      </c>
      <c r="E604" s="22">
        <f>+VLOOKUP($B604,'Master Data'!$B$22:$W$110,21,FALSE)*$D604</f>
        <v>10.247619047619049</v>
      </c>
      <c r="F604" s="16"/>
      <c r="G604" s="23">
        <v>18</v>
      </c>
      <c r="H604" s="23" t="s">
        <v>13</v>
      </c>
      <c r="I604" s="18">
        <v>20</v>
      </c>
      <c r="J604" s="21">
        <f t="shared" si="95"/>
        <v>49.382716049382715</v>
      </c>
      <c r="K604" s="22">
        <f>+VLOOKUP($H604,'Master Data'!$B$22:$W$110,21,FALSE)*$J604</f>
        <v>25.659259259259262</v>
      </c>
    </row>
    <row r="605" spans="1:11" ht="20" customHeight="1">
      <c r="A605" s="20">
        <v>2</v>
      </c>
      <c r="B605" s="19" t="s">
        <v>0</v>
      </c>
      <c r="C605" s="34">
        <v>10</v>
      </c>
      <c r="D605" s="21">
        <f t="shared" si="96"/>
        <v>31.746031746031747</v>
      </c>
      <c r="E605" s="22">
        <f>+VLOOKUP($B605,'Master Data'!$B$22:$W$110,21,FALSE)*$D605</f>
        <v>27.968253968253968</v>
      </c>
      <c r="F605" s="14"/>
      <c r="G605" s="23">
        <v>19</v>
      </c>
      <c r="H605" s="23" t="s">
        <v>17</v>
      </c>
      <c r="I605" s="18">
        <v>10</v>
      </c>
      <c r="J605" s="21">
        <f t="shared" si="95"/>
        <v>24.691358024691358</v>
      </c>
      <c r="K605" s="22">
        <f>+VLOOKUP($H605,'Master Data'!$B$22:$W$110,21,FALSE)*$J605</f>
        <v>11.940740740740742</v>
      </c>
    </row>
    <row r="606" spans="1:11" ht="20" customHeight="1">
      <c r="A606" s="20">
        <v>3</v>
      </c>
      <c r="B606" s="19" t="s">
        <v>185</v>
      </c>
      <c r="C606" s="34">
        <v>25</v>
      </c>
      <c r="D606" s="21">
        <f t="shared" si="96"/>
        <v>79.365079365079367</v>
      </c>
      <c r="E606" s="22">
        <f>+VLOOKUP($B606,'Master Data'!$B$22:$W$110,21,FALSE)*$D606</f>
        <v>47.698412698412696</v>
      </c>
      <c r="F606" s="14"/>
      <c r="G606" s="23">
        <v>20</v>
      </c>
      <c r="H606" s="354" t="s">
        <v>187</v>
      </c>
      <c r="I606" s="18">
        <v>10</v>
      </c>
      <c r="J606" s="21">
        <f t="shared" si="95"/>
        <v>24.691358024691358</v>
      </c>
      <c r="K606" s="22">
        <f>+VLOOKUP($H606,'Master Data'!$B$22:$W$110,21,FALSE)*$J606</f>
        <v>5.3580246913580245</v>
      </c>
    </row>
    <row r="607" spans="1:11" ht="20" customHeight="1">
      <c r="A607" s="20">
        <v>4</v>
      </c>
      <c r="B607" s="19" t="s">
        <v>3</v>
      </c>
      <c r="C607" s="34">
        <v>30</v>
      </c>
      <c r="D607" s="21">
        <f t="shared" si="96"/>
        <v>95.238095238095241</v>
      </c>
      <c r="E607" s="22">
        <f>+VLOOKUP($B607,'Master Data'!$B$22:$W$110,21,FALSE)*$D607</f>
        <v>28.952380952380953</v>
      </c>
      <c r="F607" s="14"/>
      <c r="G607" s="18"/>
      <c r="H607" s="24" t="s">
        <v>72</v>
      </c>
      <c r="I607" s="17">
        <f>SUM(I587:I606)</f>
        <v>405</v>
      </c>
      <c r="J607" s="17">
        <f>SUM(J587:J606)</f>
        <v>999.99999999999977</v>
      </c>
      <c r="K607" s="22">
        <f>SUM(K596:K606)</f>
        <v>414.9703703703704</v>
      </c>
    </row>
    <row r="608" spans="1:11" ht="20" customHeight="1">
      <c r="A608" s="20">
        <v>5</v>
      </c>
      <c r="B608" s="19" t="s">
        <v>39</v>
      </c>
      <c r="C608" s="34">
        <v>1</v>
      </c>
      <c r="D608" s="21">
        <f t="shared" si="96"/>
        <v>3.1746031746031744</v>
      </c>
      <c r="E608" s="22">
        <f>+VLOOKUP($B608,'Master Data'!$B$22:$W$110,21,FALSE)*$D608</f>
        <v>0.76190476190476186</v>
      </c>
      <c r="F608" s="14"/>
      <c r="G608" s="23"/>
      <c r="H608" s="24" t="s">
        <v>451</v>
      </c>
      <c r="I608" s="18"/>
      <c r="J608" s="21"/>
      <c r="K608" s="22">
        <f>K607*($K$555/100)</f>
        <v>41.497037037037046</v>
      </c>
    </row>
    <row r="609" spans="1:11" ht="20" customHeight="1">
      <c r="A609" s="20">
        <v>6</v>
      </c>
      <c r="B609" s="19" t="s">
        <v>40</v>
      </c>
      <c r="C609" s="34">
        <v>15</v>
      </c>
      <c r="D609" s="21">
        <f t="shared" si="96"/>
        <v>47.61904761904762</v>
      </c>
      <c r="E609" s="22">
        <f>+VLOOKUP($B609,'Master Data'!$B$22:$W$110,21,FALSE)*$D609</f>
        <v>4.7619047619047619</v>
      </c>
      <c r="F609" s="14"/>
      <c r="G609" s="23"/>
      <c r="H609" s="24" t="s">
        <v>74</v>
      </c>
      <c r="I609" s="17"/>
      <c r="J609" s="25"/>
      <c r="K609" s="22">
        <f>K607+K608</f>
        <v>456.46740740740745</v>
      </c>
    </row>
    <row r="610" spans="1:11" ht="20" customHeight="1">
      <c r="A610" s="20">
        <v>7</v>
      </c>
      <c r="B610" s="19" t="s">
        <v>41</v>
      </c>
      <c r="C610" s="34">
        <v>2</v>
      </c>
      <c r="D610" s="21">
        <f t="shared" si="96"/>
        <v>6.3492063492063489</v>
      </c>
      <c r="E610" s="22">
        <f>+VLOOKUP($B610,'Master Data'!$B$22:$W$110,21,FALSE)*$D610</f>
        <v>0.83809523809523812</v>
      </c>
      <c r="F610" s="14"/>
      <c r="G610" s="23"/>
      <c r="H610" s="27" t="s">
        <v>61</v>
      </c>
      <c r="I610" s="28"/>
      <c r="J610" s="28"/>
      <c r="K610" s="29">
        <f>K609/10</f>
        <v>45.646740740740746</v>
      </c>
    </row>
    <row r="611" spans="1:11" ht="20" customHeight="1">
      <c r="A611" s="20">
        <v>8</v>
      </c>
      <c r="B611" s="19" t="s">
        <v>63</v>
      </c>
      <c r="C611" s="34">
        <v>5</v>
      </c>
      <c r="D611" s="21">
        <f t="shared" si="96"/>
        <v>15.873015873015873</v>
      </c>
      <c r="E611" s="22">
        <f>+VLOOKUP($B611,'Master Data'!$B$22:$W$110,21,FALSE)*$D611</f>
        <v>2.3809523809523809</v>
      </c>
      <c r="F611" s="14"/>
    </row>
    <row r="612" spans="1:11" ht="20" customHeight="1">
      <c r="A612" s="20">
        <v>9</v>
      </c>
      <c r="B612" s="19" t="s">
        <v>2</v>
      </c>
      <c r="C612" s="34">
        <v>100</v>
      </c>
      <c r="D612" s="21">
        <f t="shared" si="96"/>
        <v>317.46031746031747</v>
      </c>
      <c r="E612" s="22">
        <f>+VLOOKUP($B612,'Master Data'!$B$22:$W$110,21,FALSE)*$D612</f>
        <v>60.952380952380956</v>
      </c>
      <c r="F612" s="14"/>
    </row>
    <row r="613" spans="1:11" ht="20" customHeight="1">
      <c r="A613" s="20">
        <v>10</v>
      </c>
      <c r="B613" s="19" t="s">
        <v>42</v>
      </c>
      <c r="C613" s="34">
        <v>40</v>
      </c>
      <c r="D613" s="21">
        <f t="shared" si="96"/>
        <v>126.98412698412699</v>
      </c>
      <c r="E613" s="22">
        <f>+VLOOKUP($B613,'Master Data'!$B$22:$W$110,21,FALSE)*$D613</f>
        <v>9.1428571428571423</v>
      </c>
      <c r="F613" s="14"/>
    </row>
    <row r="614" spans="1:11" ht="20" customHeight="1">
      <c r="A614" s="20">
        <v>11</v>
      </c>
      <c r="B614" s="19" t="s">
        <v>43</v>
      </c>
      <c r="C614" s="34">
        <v>30</v>
      </c>
      <c r="D614" s="21">
        <f t="shared" si="96"/>
        <v>95.238095238095241</v>
      </c>
      <c r="E614" s="22">
        <f>+VLOOKUP($B614,'Master Data'!$B$22:$W$110,21,FALSE)*$D614</f>
        <v>8.3809523809523814</v>
      </c>
      <c r="F614" s="14"/>
      <c r="G614" s="381" t="s">
        <v>69</v>
      </c>
      <c r="H614" s="381"/>
      <c r="I614" s="381"/>
      <c r="J614" s="381"/>
      <c r="K614" s="381"/>
    </row>
    <row r="615" spans="1:11" ht="20" customHeight="1">
      <c r="A615" s="20">
        <v>12</v>
      </c>
      <c r="B615" s="19" t="s">
        <v>44</v>
      </c>
      <c r="C615" s="34">
        <v>30</v>
      </c>
      <c r="D615" s="21">
        <f t="shared" si="96"/>
        <v>95.238095238095241</v>
      </c>
      <c r="E615" s="22">
        <f>+VLOOKUP($B615,'Master Data'!$B$22:$W$110,21,FALSE)*$D615</f>
        <v>12.571428571428573</v>
      </c>
      <c r="F615" s="14"/>
      <c r="G615" s="15" t="s">
        <v>27</v>
      </c>
      <c r="H615" s="15" t="s">
        <v>28</v>
      </c>
      <c r="I615" s="15" t="s">
        <v>29</v>
      </c>
      <c r="J615" s="15" t="s">
        <v>29</v>
      </c>
      <c r="K615" s="15" t="s">
        <v>31</v>
      </c>
    </row>
    <row r="616" spans="1:11" ht="20" customHeight="1">
      <c r="A616" s="20">
        <v>13</v>
      </c>
      <c r="B616" s="19" t="s">
        <v>47</v>
      </c>
      <c r="C616" s="34">
        <v>15</v>
      </c>
      <c r="D616" s="21">
        <f t="shared" si="96"/>
        <v>47.61904761904762</v>
      </c>
      <c r="E616" s="22">
        <f>+VLOOKUP($B616,'Master Data'!$B$22:$W$110,21,FALSE)*$D616</f>
        <v>1.5238095238095239</v>
      </c>
      <c r="F616" s="14"/>
      <c r="G616" s="15"/>
      <c r="H616" s="15"/>
      <c r="I616" s="15" t="s">
        <v>32</v>
      </c>
      <c r="J616" s="15" t="s">
        <v>33</v>
      </c>
      <c r="K616" s="15"/>
    </row>
    <row r="617" spans="1:11" ht="20" customHeight="1">
      <c r="A617" s="20">
        <v>14</v>
      </c>
      <c r="B617" s="19" t="s">
        <v>187</v>
      </c>
      <c r="C617" s="34">
        <v>3</v>
      </c>
      <c r="D617" s="21">
        <f t="shared" si="96"/>
        <v>9.5238095238095237</v>
      </c>
      <c r="E617" s="22">
        <f>+VLOOKUP($B617,'Master Data'!$B$22:$W$110,21,FALSE)*$D617</f>
        <v>2.0666666666666664</v>
      </c>
      <c r="F617" s="14"/>
      <c r="G617" s="20">
        <v>1</v>
      </c>
      <c r="H617" s="19" t="s">
        <v>158</v>
      </c>
      <c r="I617" s="368">
        <v>50</v>
      </c>
      <c r="J617" s="368">
        <f>I617*1000/$I$633</f>
        <v>43.365134431916736</v>
      </c>
      <c r="K617" s="22">
        <f>+VLOOKUP($H617,'Master Data'!$B$22:$W$110,21,FALSE)*$J617</f>
        <v>7.5281873373807455</v>
      </c>
    </row>
    <row r="618" spans="1:11" ht="20" customHeight="1">
      <c r="A618" s="20">
        <v>15</v>
      </c>
      <c r="B618" s="19" t="s">
        <v>64</v>
      </c>
      <c r="C618" s="34">
        <v>3</v>
      </c>
      <c r="D618" s="21">
        <f t="shared" si="96"/>
        <v>9.5238095238095237</v>
      </c>
      <c r="E618" s="22">
        <f>+VLOOKUP($B618,'Master Data'!$B$22:$W$110,21,FALSE)*$D618</f>
        <v>5.8190476190476188</v>
      </c>
      <c r="F618" s="14"/>
      <c r="G618" s="20">
        <v>2</v>
      </c>
      <c r="H618" s="19" t="s">
        <v>158</v>
      </c>
      <c r="I618" s="369">
        <v>20</v>
      </c>
      <c r="J618" s="368">
        <f t="shared" ref="J618:J632" si="97">I618*1000/$I$633</f>
        <v>17.346053772766695</v>
      </c>
      <c r="K618" s="22">
        <f>+VLOOKUP($H618,'Master Data'!$B$22:$W$110,21,FALSE)*$J618</f>
        <v>3.011274934952298</v>
      </c>
    </row>
    <row r="619" spans="1:11" ht="20" customHeight="1">
      <c r="A619" s="20"/>
      <c r="B619" s="24" t="s">
        <v>72</v>
      </c>
      <c r="C619" s="34">
        <f>SUM(C604:C618)</f>
        <v>315</v>
      </c>
      <c r="D619" s="21">
        <f>SUM(D604:D618)</f>
        <v>999.99999999999989</v>
      </c>
      <c r="E619" s="22">
        <f>SUM(E604:E618)</f>
        <v>224.06666666666663</v>
      </c>
      <c r="F619" s="14"/>
      <c r="G619" s="20">
        <v>3</v>
      </c>
      <c r="H619" s="19" t="s">
        <v>0</v>
      </c>
      <c r="I619" s="369">
        <v>50</v>
      </c>
      <c r="J619" s="368">
        <f t="shared" si="97"/>
        <v>43.365134431916736</v>
      </c>
      <c r="K619" s="22">
        <f>+VLOOKUP($H619,'Master Data'!$B$22:$W$110,21,FALSE)*$J619</f>
        <v>38.204683434518643</v>
      </c>
    </row>
    <row r="620" spans="1:11" ht="20" customHeight="1">
      <c r="A620" s="20"/>
      <c r="B620" s="35" t="s">
        <v>451</v>
      </c>
      <c r="C620" s="18"/>
      <c r="D620" s="21"/>
      <c r="E620" s="22">
        <f>E619*($K$555/100)</f>
        <v>22.406666666666666</v>
      </c>
      <c r="F620" s="14"/>
      <c r="G620" s="20">
        <v>4</v>
      </c>
      <c r="H620" s="19" t="s">
        <v>15</v>
      </c>
      <c r="I620" s="368">
        <v>100</v>
      </c>
      <c r="J620" s="368">
        <f t="shared" si="97"/>
        <v>86.730268863833473</v>
      </c>
      <c r="K620" s="22">
        <f>+VLOOKUP($H620,'Master Data'!$B$22:$W$110,21,FALSE)*$J620</f>
        <v>169.86990459670423</v>
      </c>
    </row>
    <row r="621" spans="1:11" ht="20" customHeight="1">
      <c r="A621" s="15"/>
      <c r="B621" s="24" t="s">
        <v>74</v>
      </c>
      <c r="C621" s="17"/>
      <c r="D621" s="25"/>
      <c r="E621" s="22">
        <f>E619+E620</f>
        <v>246.4733333333333</v>
      </c>
      <c r="F621" s="14"/>
      <c r="G621" s="20">
        <v>5</v>
      </c>
      <c r="H621" s="19" t="s">
        <v>161</v>
      </c>
      <c r="I621" s="368">
        <v>30</v>
      </c>
      <c r="J621" s="368">
        <f t="shared" si="97"/>
        <v>26.019080659150042</v>
      </c>
      <c r="K621" s="22">
        <f>+VLOOKUP($H621,'Master Data'!$B$22:$W$110,21,FALSE)*$J621</f>
        <v>15.897658282740675</v>
      </c>
    </row>
    <row r="622" spans="1:11" ht="20" customHeight="1">
      <c r="A622" s="20"/>
      <c r="B622" s="27" t="s">
        <v>61</v>
      </c>
      <c r="C622" s="28"/>
      <c r="D622" s="28"/>
      <c r="E622" s="29">
        <f>E621/10</f>
        <v>24.647333333333329</v>
      </c>
      <c r="F622" s="26"/>
      <c r="G622" s="20">
        <v>6</v>
      </c>
      <c r="H622" s="19" t="s">
        <v>288</v>
      </c>
      <c r="I622" s="368">
        <v>50</v>
      </c>
      <c r="J622" s="368">
        <f t="shared" si="97"/>
        <v>43.365134431916736</v>
      </c>
      <c r="K622" s="22">
        <f>+VLOOKUP($H622,'Master Data'!$B$22:$W$110,21,FALSE)*$J622</f>
        <v>48.081609052988064</v>
      </c>
    </row>
    <row r="623" spans="1:11" ht="20" customHeight="1">
      <c r="A623" s="30"/>
      <c r="B623" s="31"/>
      <c r="C623" s="16"/>
      <c r="D623" s="16"/>
      <c r="E623" s="36"/>
      <c r="F623" s="14"/>
      <c r="G623" s="20">
        <v>7</v>
      </c>
      <c r="H623" s="19" t="s">
        <v>308</v>
      </c>
      <c r="I623" s="368">
        <v>100</v>
      </c>
      <c r="J623" s="368">
        <f t="shared" si="97"/>
        <v>86.730268863833473</v>
      </c>
      <c r="K623" s="22">
        <f>+VLOOKUP($H623,'Master Data'!$B$22:$W$110,21,FALSE)*$J623</f>
        <v>37.259323503902863</v>
      </c>
    </row>
    <row r="624" spans="1:11" ht="20" customHeight="1">
      <c r="A624" s="16"/>
      <c r="B624" s="14"/>
      <c r="C624" s="16"/>
      <c r="D624" s="16"/>
      <c r="E624" s="36"/>
      <c r="F624" s="14"/>
      <c r="G624" s="20">
        <v>8</v>
      </c>
      <c r="H624" s="19" t="s">
        <v>308</v>
      </c>
      <c r="I624" s="369">
        <v>100</v>
      </c>
      <c r="J624" s="368">
        <f t="shared" si="97"/>
        <v>86.730268863833473</v>
      </c>
      <c r="K624" s="22">
        <f>+VLOOKUP($H624,'Master Data'!$B$22:$W$110,21,FALSE)*$J624</f>
        <v>37.259323503902863</v>
      </c>
    </row>
    <row r="625" spans="1:11" ht="20" customHeight="1">
      <c r="A625" s="381" t="s">
        <v>45</v>
      </c>
      <c r="B625" s="381"/>
      <c r="C625" s="381"/>
      <c r="D625" s="381"/>
      <c r="E625" s="381"/>
      <c r="F625" s="14"/>
      <c r="G625" s="20">
        <v>9</v>
      </c>
      <c r="H625" s="19" t="s">
        <v>1</v>
      </c>
      <c r="I625" s="368">
        <v>80</v>
      </c>
      <c r="J625" s="368">
        <f t="shared" si="97"/>
        <v>69.384215091066778</v>
      </c>
      <c r="K625" s="22">
        <f>+VLOOKUP($H625,'Master Data'!$B$22:$W$110,21,FALSE)*$J625</f>
        <v>82.636600173460536</v>
      </c>
    </row>
    <row r="626" spans="1:11" ht="20" customHeight="1">
      <c r="A626" s="15" t="s">
        <v>27</v>
      </c>
      <c r="B626" s="15" t="s">
        <v>28</v>
      </c>
      <c r="C626" s="15" t="s">
        <v>29</v>
      </c>
      <c r="D626" s="15" t="s">
        <v>29</v>
      </c>
      <c r="E626" s="15" t="s">
        <v>31</v>
      </c>
      <c r="F626" s="14"/>
      <c r="G626" s="20">
        <v>10</v>
      </c>
      <c r="H626" s="19" t="s">
        <v>1</v>
      </c>
      <c r="I626" s="369">
        <v>20</v>
      </c>
      <c r="J626" s="368">
        <f t="shared" si="97"/>
        <v>17.346053772766695</v>
      </c>
      <c r="K626" s="22">
        <f>+VLOOKUP($H626,'Master Data'!$B$22:$W$110,21,FALSE)*$J626</f>
        <v>20.659150043365134</v>
      </c>
    </row>
    <row r="627" spans="1:11" ht="20" customHeight="1">
      <c r="A627" s="15"/>
      <c r="B627" s="15"/>
      <c r="C627" s="15" t="s">
        <v>32</v>
      </c>
      <c r="D627" s="15" t="s">
        <v>33</v>
      </c>
      <c r="E627" s="15"/>
      <c r="F627" s="14"/>
      <c r="G627" s="20">
        <v>11</v>
      </c>
      <c r="H627" s="19" t="s">
        <v>35</v>
      </c>
      <c r="I627" s="368">
        <v>320</v>
      </c>
      <c r="J627" s="368">
        <f t="shared" si="97"/>
        <v>277.53686036426711</v>
      </c>
      <c r="K627" s="22">
        <f>+VLOOKUP($H627,'Master Data'!$B$22:$W$110,21,FALSE)*$J627</f>
        <v>871.74327840416299</v>
      </c>
    </row>
    <row r="628" spans="1:11" ht="20" customHeight="1">
      <c r="A628" s="20">
        <v>1</v>
      </c>
      <c r="B628" s="19" t="s">
        <v>19</v>
      </c>
      <c r="C628" s="18">
        <v>20</v>
      </c>
      <c r="D628" s="21">
        <f t="shared" ref="D628:D645" si="98">C628*1000/$C$646</f>
        <v>39.682539682539684</v>
      </c>
      <c r="E628" s="22">
        <f>+VLOOKUP($B628,'Master Data'!$B$22:$W$110,21,FALSE)*$D628</f>
        <v>21.349206349206352</v>
      </c>
      <c r="F628" s="14"/>
      <c r="G628" s="20">
        <v>12</v>
      </c>
      <c r="H628" s="19" t="s">
        <v>35</v>
      </c>
      <c r="I628" s="369">
        <v>30</v>
      </c>
      <c r="J628" s="368">
        <f t="shared" si="97"/>
        <v>26.019080659150042</v>
      </c>
      <c r="K628" s="22">
        <f>+VLOOKUP($H628,'Master Data'!$B$22:$W$110,21,FALSE)*$J628</f>
        <v>81.725932350390281</v>
      </c>
    </row>
    <row r="629" spans="1:11" ht="20" customHeight="1">
      <c r="A629" s="20">
        <v>2</v>
      </c>
      <c r="B629" s="19" t="s">
        <v>15</v>
      </c>
      <c r="C629" s="18">
        <v>40</v>
      </c>
      <c r="D629" s="21">
        <f t="shared" si="98"/>
        <v>79.365079365079367</v>
      </c>
      <c r="E629" s="22">
        <f>+VLOOKUP($B629,'Master Data'!$B$22:$W$110,21,FALSE)*$D629</f>
        <v>155.44444444444443</v>
      </c>
      <c r="F629" s="14"/>
      <c r="G629" s="20">
        <v>13</v>
      </c>
      <c r="H629" s="19" t="s">
        <v>272</v>
      </c>
      <c r="I629" s="368">
        <v>50</v>
      </c>
      <c r="J629" s="368">
        <f t="shared" si="97"/>
        <v>43.365134431916736</v>
      </c>
      <c r="K629" s="22">
        <f>+VLOOKUP($H629,'Master Data'!$B$22:$W$110,21,FALSE)*$J629</f>
        <v>61.297650022715061</v>
      </c>
    </row>
    <row r="630" spans="1:11" ht="20" customHeight="1">
      <c r="A630" s="20">
        <v>3</v>
      </c>
      <c r="B630" s="19" t="s">
        <v>0</v>
      </c>
      <c r="C630" s="18">
        <v>20</v>
      </c>
      <c r="D630" s="21">
        <f t="shared" si="98"/>
        <v>39.682539682539684</v>
      </c>
      <c r="E630" s="22">
        <f>+VLOOKUP($B630,'Master Data'!$B$22:$W$110,21,FALSE)*$D630</f>
        <v>34.960317460317462</v>
      </c>
      <c r="F630" s="14"/>
      <c r="G630" s="20">
        <v>14</v>
      </c>
      <c r="H630" s="19" t="s">
        <v>16</v>
      </c>
      <c r="I630" s="368">
        <v>100</v>
      </c>
      <c r="J630" s="368">
        <f t="shared" si="97"/>
        <v>86.730268863833473</v>
      </c>
      <c r="K630" s="22">
        <f>+VLOOKUP($H630,'Master Data'!$B$22:$W$110,21,FALSE)*$J630</f>
        <v>237.72766695576755</v>
      </c>
    </row>
    <row r="631" spans="1:11" ht="20" customHeight="1">
      <c r="A631" s="20">
        <v>4</v>
      </c>
      <c r="B631" s="19" t="s">
        <v>161</v>
      </c>
      <c r="C631" s="18">
        <v>40</v>
      </c>
      <c r="D631" s="21">
        <f t="shared" si="98"/>
        <v>79.365079365079367</v>
      </c>
      <c r="E631" s="22">
        <f>+VLOOKUP($B631,'Master Data'!$B$22:$W$110,21,FALSE)*$D631</f>
        <v>48.492063492063494</v>
      </c>
      <c r="F631" s="14"/>
      <c r="G631" s="20">
        <v>15</v>
      </c>
      <c r="H631" s="19" t="s">
        <v>12</v>
      </c>
      <c r="I631" s="368">
        <v>3</v>
      </c>
      <c r="J631" s="368">
        <f t="shared" si="97"/>
        <v>2.6019080659150045</v>
      </c>
      <c r="K631" s="22">
        <f>+VLOOKUP($H631,'Master Data'!$B$22:$W$110,21,FALSE)*$J631</f>
        <v>2.448395490026019</v>
      </c>
    </row>
    <row r="632" spans="1:11" ht="20" customHeight="1">
      <c r="A632" s="20">
        <v>5</v>
      </c>
      <c r="B632" s="19" t="s">
        <v>308</v>
      </c>
      <c r="C632" s="18">
        <v>20</v>
      </c>
      <c r="D632" s="21">
        <f t="shared" si="98"/>
        <v>39.682539682539684</v>
      </c>
      <c r="E632" s="22">
        <f>+VLOOKUP($B632,'Master Data'!$B$22:$W$110,21,FALSE)*$D632</f>
        <v>17.047619047619051</v>
      </c>
      <c r="F632" s="14"/>
      <c r="G632" s="20">
        <v>16</v>
      </c>
      <c r="H632" s="19" t="s">
        <v>117</v>
      </c>
      <c r="I632" s="368">
        <v>50</v>
      </c>
      <c r="J632" s="368">
        <f t="shared" si="97"/>
        <v>43.365134431916736</v>
      </c>
      <c r="K632" s="22">
        <f>+VLOOKUP($H632,'Master Data'!$B$22:$W$110,21,FALSE)*$J632</f>
        <v>16.652211621856026</v>
      </c>
    </row>
    <row r="633" spans="1:11" ht="20" customHeight="1">
      <c r="A633" s="20">
        <v>6</v>
      </c>
      <c r="B633" s="19" t="s">
        <v>1</v>
      </c>
      <c r="C633" s="18">
        <v>20</v>
      </c>
      <c r="D633" s="21">
        <f t="shared" si="98"/>
        <v>39.682539682539684</v>
      </c>
      <c r="E633" s="22">
        <f>+VLOOKUP($B633,'Master Data'!$B$22:$W$110,21,FALSE)*$D633</f>
        <v>47.261904761904766</v>
      </c>
      <c r="F633" s="14"/>
      <c r="G633" s="23"/>
      <c r="H633" s="24" t="s">
        <v>72</v>
      </c>
      <c r="I633" s="17">
        <f>SUM(I617:I632)</f>
        <v>1153</v>
      </c>
      <c r="J633" s="25">
        <f>SUM(J617:J632)</f>
        <v>1000</v>
      </c>
      <c r="K633" s="22">
        <f>SUM(K617:K632)</f>
        <v>1732.0028497088338</v>
      </c>
    </row>
    <row r="634" spans="1:11" ht="20" customHeight="1">
      <c r="A634" s="20">
        <v>7</v>
      </c>
      <c r="B634" s="19" t="s">
        <v>2</v>
      </c>
      <c r="C634" s="18">
        <v>40</v>
      </c>
      <c r="D634" s="21">
        <f t="shared" si="98"/>
        <v>79.365079365079367</v>
      </c>
      <c r="E634" s="22">
        <f>+VLOOKUP($B634,'Master Data'!$B$22:$W$110,21,FALSE)*$D634</f>
        <v>15.238095238095239</v>
      </c>
      <c r="F634" s="14"/>
      <c r="G634" s="23"/>
      <c r="H634" s="24" t="s">
        <v>451</v>
      </c>
      <c r="I634" s="18"/>
      <c r="J634" s="21"/>
      <c r="K634" s="22">
        <f>K633*($K$555/100)</f>
        <v>173.20028497088339</v>
      </c>
    </row>
    <row r="635" spans="1:11" ht="20" customHeight="1">
      <c r="A635" s="20">
        <v>8</v>
      </c>
      <c r="B635" s="19" t="s">
        <v>3</v>
      </c>
      <c r="C635" s="18">
        <v>20</v>
      </c>
      <c r="D635" s="21">
        <f t="shared" si="98"/>
        <v>39.682539682539684</v>
      </c>
      <c r="E635" s="22">
        <f>+VLOOKUP($B635,'Master Data'!$B$22:$W$110,21,FALSE)*$D635</f>
        <v>12.063492063492063</v>
      </c>
      <c r="F635" s="14"/>
      <c r="G635" s="367"/>
      <c r="H635" s="24" t="s">
        <v>74</v>
      </c>
      <c r="I635" s="17"/>
      <c r="J635" s="25"/>
      <c r="K635" s="22">
        <f>K633+K634</f>
        <v>1905.2031346797171</v>
      </c>
    </row>
    <row r="636" spans="1:11" ht="20" customHeight="1">
      <c r="A636" s="20">
        <v>9</v>
      </c>
      <c r="B636" s="19" t="s">
        <v>46</v>
      </c>
      <c r="C636" s="18">
        <v>40</v>
      </c>
      <c r="D636" s="21">
        <f t="shared" si="98"/>
        <v>79.365079365079367</v>
      </c>
      <c r="E636" s="22">
        <f>+VLOOKUP($B636,'Master Data'!$B$22:$W$110,21,FALSE)*$D636</f>
        <v>16.946334089191232</v>
      </c>
      <c r="F636" s="14"/>
      <c r="G636" s="10"/>
      <c r="H636" s="27" t="s">
        <v>61</v>
      </c>
      <c r="I636" s="28"/>
      <c r="J636" s="28"/>
      <c r="K636" s="29">
        <f>K635/10</f>
        <v>190.5203134679717</v>
      </c>
    </row>
    <row r="637" spans="1:11" ht="20" customHeight="1">
      <c r="A637" s="20">
        <v>10</v>
      </c>
      <c r="B637" s="19" t="s">
        <v>68</v>
      </c>
      <c r="C637" s="18">
        <v>20</v>
      </c>
      <c r="D637" s="21">
        <f t="shared" si="98"/>
        <v>39.682539682539684</v>
      </c>
      <c r="E637" s="22">
        <f>+VLOOKUP($B637,'Master Data'!$B$22:$W$110,21,FALSE)*$D637</f>
        <v>18.015873015873016</v>
      </c>
      <c r="F637" s="14"/>
      <c r="G637" s="355"/>
      <c r="H637" s="356"/>
      <c r="I637" s="355"/>
      <c r="J637" s="357"/>
      <c r="K637" s="358"/>
    </row>
    <row r="638" spans="1:11" ht="20" customHeight="1">
      <c r="A638" s="20">
        <v>11</v>
      </c>
      <c r="B638" s="235" t="s">
        <v>435</v>
      </c>
      <c r="C638" s="18">
        <v>20</v>
      </c>
      <c r="D638" s="21">
        <f t="shared" si="98"/>
        <v>39.682539682539684</v>
      </c>
      <c r="E638" s="22">
        <f>+VLOOKUP($B638,'Master Data'!$B$22:$W$110,21,FALSE)*$D638</f>
        <v>13.65079365079365</v>
      </c>
      <c r="F638" s="14"/>
      <c r="G638" s="355"/>
      <c r="H638" s="356"/>
      <c r="I638" s="355"/>
      <c r="J638" s="357"/>
      <c r="K638" s="358"/>
    </row>
    <row r="639" spans="1:11" ht="20" customHeight="1">
      <c r="A639" s="20">
        <v>12</v>
      </c>
      <c r="B639" s="19" t="s">
        <v>40</v>
      </c>
      <c r="C639" s="18">
        <v>20</v>
      </c>
      <c r="D639" s="21">
        <f t="shared" si="98"/>
        <v>39.682539682539684</v>
      </c>
      <c r="E639" s="22">
        <f>+VLOOKUP($B639,'Master Data'!$B$22:$W$110,21,FALSE)*$D639</f>
        <v>3.9682539682539684</v>
      </c>
      <c r="F639" s="14"/>
      <c r="G639" s="355"/>
      <c r="H639" s="356"/>
      <c r="I639" s="355"/>
      <c r="J639" s="357"/>
      <c r="K639" s="358"/>
    </row>
    <row r="640" spans="1:11" ht="20" customHeight="1">
      <c r="A640" s="20">
        <v>13</v>
      </c>
      <c r="B640" s="19" t="s">
        <v>544</v>
      </c>
      <c r="C640" s="18">
        <v>20</v>
      </c>
      <c r="D640" s="21">
        <f t="shared" si="98"/>
        <v>39.682539682539684</v>
      </c>
      <c r="E640" s="22">
        <f>+VLOOKUP($B640,'Master Data'!$B$22:$W$110,21,FALSE)*$D640</f>
        <v>124.64285714285715</v>
      </c>
      <c r="F640" s="14"/>
      <c r="G640" s="355"/>
      <c r="H640" s="356"/>
      <c r="I640" s="355"/>
      <c r="J640" s="357"/>
      <c r="K640" s="358"/>
    </row>
    <row r="641" spans="1:11" ht="20" customHeight="1">
      <c r="A641" s="20">
        <v>14</v>
      </c>
      <c r="B641" s="19" t="s">
        <v>16</v>
      </c>
      <c r="C641" s="18">
        <v>20</v>
      </c>
      <c r="D641" s="21">
        <f t="shared" si="98"/>
        <v>39.682539682539684</v>
      </c>
      <c r="E641" s="22">
        <f>+VLOOKUP($B641,'Master Data'!$B$22:$W$110,21,FALSE)*$D641</f>
        <v>108.76984126984128</v>
      </c>
      <c r="F641" s="14"/>
      <c r="G641" s="355"/>
      <c r="H641" s="356"/>
      <c r="I641" s="355"/>
      <c r="J641" s="357"/>
      <c r="K641" s="358"/>
    </row>
    <row r="642" spans="1:11" ht="20" customHeight="1">
      <c r="A642" s="20">
        <v>15</v>
      </c>
      <c r="B642" s="19" t="s">
        <v>41</v>
      </c>
      <c r="C642" s="18">
        <v>40</v>
      </c>
      <c r="D642" s="21">
        <f t="shared" si="98"/>
        <v>79.365079365079367</v>
      </c>
      <c r="E642" s="22">
        <f>+VLOOKUP($B642,'Master Data'!$B$22:$W$110,21,FALSE)*$D642</f>
        <v>10.476190476190476</v>
      </c>
      <c r="F642" s="14"/>
      <c r="G642" s="355"/>
      <c r="H642" s="356"/>
      <c r="I642" s="355"/>
      <c r="J642" s="357"/>
      <c r="K642" s="358"/>
    </row>
    <row r="643" spans="1:11" ht="20" customHeight="1">
      <c r="A643" s="20">
        <v>16</v>
      </c>
      <c r="B643" s="19" t="s">
        <v>12</v>
      </c>
      <c r="C643" s="18">
        <v>24</v>
      </c>
      <c r="D643" s="21">
        <f t="shared" si="98"/>
        <v>47.61904761904762</v>
      </c>
      <c r="E643" s="22">
        <f>+VLOOKUP($B643,'Master Data'!$B$22:$W$110,21,FALSE)*$D643</f>
        <v>44.80952380952381</v>
      </c>
      <c r="F643" s="14"/>
      <c r="G643" s="355"/>
      <c r="H643" s="356"/>
      <c r="I643" s="355"/>
      <c r="J643" s="357"/>
      <c r="K643" s="358"/>
    </row>
    <row r="644" spans="1:11" ht="20" customHeight="1">
      <c r="A644" s="20">
        <v>17</v>
      </c>
      <c r="B644" s="19" t="s">
        <v>47</v>
      </c>
      <c r="C644" s="18">
        <v>40</v>
      </c>
      <c r="D644" s="21">
        <f t="shared" si="98"/>
        <v>79.365079365079367</v>
      </c>
      <c r="E644" s="22">
        <f>+VLOOKUP($B644,'Master Data'!$B$22:$W$110,21,FALSE)*$D644</f>
        <v>2.53968253968254</v>
      </c>
      <c r="F644" s="14"/>
      <c r="G644" s="355"/>
      <c r="H644" s="356"/>
      <c r="I644" s="355"/>
      <c r="J644" s="357"/>
      <c r="K644" s="358"/>
    </row>
    <row r="645" spans="1:11" ht="20" customHeight="1">
      <c r="A645" s="20">
        <v>18</v>
      </c>
      <c r="B645" s="19" t="s">
        <v>187</v>
      </c>
      <c r="C645" s="18">
        <v>40</v>
      </c>
      <c r="D645" s="21">
        <f t="shared" si="98"/>
        <v>79.365079365079367</v>
      </c>
      <c r="E645" s="22">
        <f>+VLOOKUP($B645,'Master Data'!$B$22:$W$110,21,FALSE)*$D645</f>
        <v>17.222222222222221</v>
      </c>
      <c r="F645" s="14"/>
      <c r="G645" s="355"/>
      <c r="H645" s="356"/>
      <c r="I645" s="355"/>
      <c r="J645" s="357"/>
      <c r="K645" s="358"/>
    </row>
    <row r="646" spans="1:11" ht="20" customHeight="1">
      <c r="A646" s="20"/>
      <c r="B646" s="24" t="s">
        <v>72</v>
      </c>
      <c r="C646" s="18">
        <f>SUM(C628:C645)</f>
        <v>504</v>
      </c>
      <c r="D646" s="21">
        <f>SUM(D628:D645)</f>
        <v>999.99999999999989</v>
      </c>
      <c r="E646" s="22">
        <f>SUM(E628:E645)</f>
        <v>712.89871504157225</v>
      </c>
      <c r="F646" s="14"/>
      <c r="G646" s="355"/>
      <c r="H646" s="356"/>
      <c r="I646" s="355"/>
      <c r="J646" s="357"/>
      <c r="K646" s="358"/>
    </row>
    <row r="647" spans="1:11" ht="20" customHeight="1">
      <c r="A647" s="37"/>
      <c r="B647" s="35" t="s">
        <v>451</v>
      </c>
      <c r="C647" s="37"/>
      <c r="D647" s="38"/>
      <c r="E647" s="22">
        <f>E646*($K$555/100)</f>
        <v>71.289871504157233</v>
      </c>
      <c r="F647" s="14"/>
      <c r="G647" s="355"/>
      <c r="H647" s="359"/>
      <c r="I647" s="355"/>
      <c r="J647" s="357"/>
      <c r="K647" s="358"/>
    </row>
    <row r="648" spans="1:11" ht="20" customHeight="1">
      <c r="A648" s="20"/>
      <c r="B648" s="24" t="s">
        <v>74</v>
      </c>
      <c r="C648" s="17"/>
      <c r="D648" s="25"/>
      <c r="E648" s="22">
        <f>E646+E647</f>
        <v>784.18858654572944</v>
      </c>
      <c r="F648" s="14"/>
      <c r="G648" s="355"/>
      <c r="H648" s="356"/>
      <c r="I648" s="355"/>
      <c r="J648" s="357"/>
      <c r="K648" s="358"/>
    </row>
    <row r="649" spans="1:11" ht="20" customHeight="1">
      <c r="A649" s="20"/>
      <c r="B649" s="27" t="s">
        <v>61</v>
      </c>
      <c r="C649" s="28"/>
      <c r="D649" s="28"/>
      <c r="E649" s="29">
        <f>E648/10</f>
        <v>78.418858654572944</v>
      </c>
      <c r="F649" s="14"/>
      <c r="G649" s="355"/>
      <c r="H649" s="356"/>
      <c r="I649" s="355"/>
      <c r="J649" s="357"/>
      <c r="K649" s="358"/>
    </row>
    <row r="650" spans="1:11" ht="20" customHeight="1">
      <c r="A650" s="30"/>
      <c r="B650" s="31"/>
      <c r="C650" s="16"/>
      <c r="D650" s="16"/>
      <c r="E650" s="32"/>
      <c r="F650" s="26"/>
      <c r="G650" s="355"/>
      <c r="H650" s="356"/>
      <c r="I650" s="355"/>
      <c r="J650" s="357"/>
      <c r="K650" s="358"/>
    </row>
    <row r="651" spans="1:11" ht="20" customHeight="1">
      <c r="A651" s="16"/>
      <c r="B651" s="14"/>
      <c r="C651" s="16"/>
      <c r="D651" s="16"/>
      <c r="E651" s="36"/>
      <c r="F651" s="14"/>
      <c r="G651" s="355"/>
      <c r="H651" s="356"/>
      <c r="I651" s="355"/>
      <c r="J651" s="357"/>
      <c r="K651" s="358"/>
    </row>
    <row r="652" spans="1:11" ht="20" customHeight="1">
      <c r="A652" s="381" t="s">
        <v>48</v>
      </c>
      <c r="B652" s="381"/>
      <c r="C652" s="381"/>
      <c r="D652" s="381"/>
      <c r="E652" s="381"/>
      <c r="F652" s="14"/>
      <c r="G652" s="355"/>
      <c r="H652" s="356"/>
      <c r="I652" s="355"/>
      <c r="J652" s="357"/>
      <c r="K652" s="358"/>
    </row>
    <row r="653" spans="1:11" ht="20" customHeight="1">
      <c r="A653" s="15" t="s">
        <v>27</v>
      </c>
      <c r="B653" s="15" t="s">
        <v>28</v>
      </c>
      <c r="C653" s="15" t="s">
        <v>29</v>
      </c>
      <c r="D653" s="15" t="s">
        <v>29</v>
      </c>
      <c r="E653" s="15" t="s">
        <v>31</v>
      </c>
      <c r="F653" s="14"/>
      <c r="G653" s="355"/>
      <c r="H653" s="356"/>
      <c r="I653" s="355"/>
      <c r="J653" s="357"/>
      <c r="K653" s="358"/>
    </row>
    <row r="654" spans="1:11" ht="20" customHeight="1">
      <c r="A654" s="15"/>
      <c r="B654" s="15"/>
      <c r="C654" s="15" t="s">
        <v>32</v>
      </c>
      <c r="D654" s="15" t="s">
        <v>33</v>
      </c>
      <c r="E654" s="15"/>
      <c r="F654" s="14"/>
      <c r="G654" s="355"/>
      <c r="H654" s="356"/>
      <c r="I654" s="355"/>
      <c r="J654" s="357"/>
      <c r="K654" s="358"/>
    </row>
    <row r="655" spans="1:11" ht="20" customHeight="1">
      <c r="A655" s="20">
        <v>1</v>
      </c>
      <c r="B655" s="19" t="s">
        <v>19</v>
      </c>
      <c r="C655" s="18">
        <v>32</v>
      </c>
      <c r="D655" s="21">
        <f t="shared" ref="D655:D670" si="99">C655*1000/$C$671</f>
        <v>28.293545534924846</v>
      </c>
      <c r="E655" s="22">
        <f>+VLOOKUP($B655,'Master Data'!$B$22:$W$110,21,FALSE)*$D655</f>
        <v>15.221927497789569</v>
      </c>
      <c r="F655" s="14"/>
      <c r="G655" s="355"/>
      <c r="H655" s="360"/>
      <c r="I655" s="361"/>
      <c r="J655" s="361"/>
      <c r="K655" s="358"/>
    </row>
    <row r="656" spans="1:11" ht="20" customHeight="1">
      <c r="A656" s="20">
        <v>2</v>
      </c>
      <c r="B656" s="19" t="s">
        <v>158</v>
      </c>
      <c r="C656" s="18">
        <v>2</v>
      </c>
      <c r="D656" s="21">
        <f t="shared" si="99"/>
        <v>1.7683465959328029</v>
      </c>
      <c r="E656" s="22">
        <f>+VLOOKUP($B656,'Master Data'!$B$22:$W$110,21,FALSE)*$D656</f>
        <v>0.30698496905393458</v>
      </c>
      <c r="F656" s="14"/>
      <c r="G656" s="355"/>
      <c r="H656" s="360"/>
      <c r="I656" s="361"/>
      <c r="J656" s="355"/>
      <c r="K656" s="358"/>
    </row>
    <row r="657" spans="1:11" ht="20" customHeight="1">
      <c r="A657" s="20">
        <v>3</v>
      </c>
      <c r="B657" s="19" t="s">
        <v>43</v>
      </c>
      <c r="C657" s="18">
        <v>50</v>
      </c>
      <c r="D657" s="21">
        <f t="shared" si="99"/>
        <v>44.208664898320073</v>
      </c>
      <c r="E657" s="22">
        <f>+VLOOKUP($B657,'Master Data'!$B$22:$W$110,21,FALSE)*$D657</f>
        <v>3.890362511052166</v>
      </c>
      <c r="F657" s="14"/>
      <c r="G657" s="355"/>
      <c r="H657" s="360"/>
      <c r="I657" s="355"/>
      <c r="J657" s="355"/>
      <c r="K657" s="358"/>
    </row>
    <row r="658" spans="1:11" ht="20" customHeight="1">
      <c r="A658" s="20">
        <v>4</v>
      </c>
      <c r="B658" s="19" t="s">
        <v>66</v>
      </c>
      <c r="C658" s="18">
        <v>30</v>
      </c>
      <c r="D658" s="21">
        <f t="shared" si="99"/>
        <v>26.525198938992041</v>
      </c>
      <c r="E658" s="22">
        <f>+VLOOKUP($B658,'Master Data'!$B$22:$W$110,21,FALSE)*$D658</f>
        <v>3.7135278514588861</v>
      </c>
      <c r="F658" s="14"/>
      <c r="G658" s="355"/>
      <c r="H658" s="362"/>
      <c r="I658" s="355"/>
      <c r="J658" s="355"/>
      <c r="K658" s="363"/>
    </row>
    <row r="659" spans="1:11" ht="20" customHeight="1">
      <c r="A659" s="20">
        <v>5</v>
      </c>
      <c r="B659" s="19" t="s">
        <v>0</v>
      </c>
      <c r="C659" s="18">
        <v>12</v>
      </c>
      <c r="D659" s="21">
        <f t="shared" si="99"/>
        <v>10.610079575596817</v>
      </c>
      <c r="E659" s="22">
        <f>+VLOOKUP($B659,'Master Data'!$B$22:$W$110,21,FALSE)*$D659</f>
        <v>9.3474801061007966</v>
      </c>
      <c r="F659" s="14"/>
      <c r="G659" s="14"/>
      <c r="H659" s="14"/>
      <c r="I659" s="14"/>
    </row>
    <row r="660" spans="1:11" ht="20" customHeight="1">
      <c r="A660" s="20">
        <v>6</v>
      </c>
      <c r="B660" s="19" t="s">
        <v>185</v>
      </c>
      <c r="C660" s="18">
        <v>280</v>
      </c>
      <c r="D660" s="21">
        <f t="shared" si="99"/>
        <v>247.56852343059239</v>
      </c>
      <c r="E660" s="22">
        <f>+VLOOKUP($B660,'Master Data'!$B$22:$W$110,21,FALSE)*$D660</f>
        <v>148.78868258178602</v>
      </c>
      <c r="F660" s="14"/>
      <c r="G660" s="14"/>
      <c r="H660" s="14"/>
      <c r="I660" s="14"/>
    </row>
    <row r="661" spans="1:11" ht="20" customHeight="1">
      <c r="A661" s="20">
        <v>7</v>
      </c>
      <c r="B661" s="19" t="s">
        <v>64</v>
      </c>
      <c r="C661" s="18">
        <v>20</v>
      </c>
      <c r="D661" s="21">
        <f t="shared" si="99"/>
        <v>17.683465959328029</v>
      </c>
      <c r="E661" s="22">
        <f>+VLOOKUP($B661,'Master Data'!$B$22:$W$110,21,FALSE)*$D661</f>
        <v>10.804597701149426</v>
      </c>
      <c r="F661" s="14"/>
      <c r="G661" s="14"/>
      <c r="H661" s="14"/>
      <c r="I661" s="14"/>
    </row>
    <row r="662" spans="1:11" ht="20" customHeight="1">
      <c r="A662" s="20">
        <v>8</v>
      </c>
      <c r="B662" s="19" t="s">
        <v>308</v>
      </c>
      <c r="C662" s="18">
        <v>6</v>
      </c>
      <c r="D662" s="21">
        <f t="shared" si="99"/>
        <v>5.3050397877984086</v>
      </c>
      <c r="E662" s="22">
        <f>+VLOOKUP($B662,'Master Data'!$B$22:$W$110,21,FALSE)*$D662</f>
        <v>2.2790450928381967</v>
      </c>
      <c r="F662" s="14"/>
      <c r="G662" s="14"/>
      <c r="H662" s="14"/>
      <c r="I662" s="14"/>
    </row>
    <row r="663" spans="1:11" ht="20" customHeight="1">
      <c r="A663" s="20">
        <v>9</v>
      </c>
      <c r="B663" s="19" t="s">
        <v>2</v>
      </c>
      <c r="C663" s="18">
        <v>500</v>
      </c>
      <c r="D663" s="21">
        <f t="shared" si="99"/>
        <v>442.08664898320069</v>
      </c>
      <c r="E663" s="22">
        <f>+VLOOKUP($B663,'Master Data'!$B$22:$W$110,21,FALSE)*$D663</f>
        <v>84.880636604774537</v>
      </c>
      <c r="F663" s="14"/>
      <c r="G663" s="14"/>
      <c r="H663" s="14"/>
      <c r="I663" s="14"/>
    </row>
    <row r="664" spans="1:11" ht="20" customHeight="1">
      <c r="A664" s="20">
        <v>10</v>
      </c>
      <c r="B664" s="19" t="s">
        <v>3</v>
      </c>
      <c r="C664" s="18">
        <v>40</v>
      </c>
      <c r="D664" s="21">
        <f t="shared" si="99"/>
        <v>35.366931918656057</v>
      </c>
      <c r="E664" s="22">
        <f>+VLOOKUP($B664,'Master Data'!$B$22:$W$110,21,FALSE)*$D664</f>
        <v>10.75154730327144</v>
      </c>
      <c r="F664" s="14"/>
      <c r="G664" s="14"/>
      <c r="H664" s="14"/>
      <c r="I664" s="14"/>
    </row>
    <row r="665" spans="1:11" ht="20" customHeight="1">
      <c r="A665" s="20">
        <v>11</v>
      </c>
      <c r="B665" s="19" t="s">
        <v>52</v>
      </c>
      <c r="C665" s="18">
        <v>50</v>
      </c>
      <c r="D665" s="21">
        <f t="shared" si="99"/>
        <v>44.208664898320073</v>
      </c>
      <c r="E665" s="22">
        <f>+VLOOKUP($B665,'Master Data'!$B$22:$W$110,21,FALSE)*$D665</f>
        <v>15.296198054818744</v>
      </c>
      <c r="F665" s="14"/>
      <c r="G665" s="14"/>
      <c r="H665" s="14"/>
      <c r="I665" s="14"/>
    </row>
    <row r="666" spans="1:11" ht="20" customHeight="1">
      <c r="A666" s="20">
        <v>12</v>
      </c>
      <c r="B666" s="19" t="s">
        <v>40</v>
      </c>
      <c r="C666" s="18">
        <v>35</v>
      </c>
      <c r="D666" s="21">
        <f t="shared" si="99"/>
        <v>30.946065428824049</v>
      </c>
      <c r="E666" s="22">
        <f>+VLOOKUP($B666,'Master Data'!$B$22:$W$110,21,FALSE)*$D666</f>
        <v>3.094606542882405</v>
      </c>
      <c r="F666" s="14"/>
      <c r="G666" s="14"/>
      <c r="H666" s="14"/>
      <c r="I666" s="14"/>
    </row>
    <row r="667" spans="1:11" ht="20" customHeight="1">
      <c r="A667" s="20">
        <v>13</v>
      </c>
      <c r="B667" s="19" t="s">
        <v>270</v>
      </c>
      <c r="C667" s="18">
        <v>10</v>
      </c>
      <c r="D667" s="21">
        <f t="shared" si="99"/>
        <v>8.8417329796640143</v>
      </c>
      <c r="E667" s="22">
        <f>+VLOOKUP($B667,'Master Data'!$B$22:$W$110,21,FALSE)*$D667</f>
        <v>9.4606542882404963</v>
      </c>
      <c r="F667" s="14"/>
      <c r="G667" s="14"/>
      <c r="H667" s="14"/>
      <c r="I667" s="14"/>
    </row>
    <row r="668" spans="1:11" ht="20" customHeight="1">
      <c r="A668" s="20">
        <v>14</v>
      </c>
      <c r="B668" s="19" t="s">
        <v>42</v>
      </c>
      <c r="C668" s="18">
        <v>40</v>
      </c>
      <c r="D668" s="21">
        <f t="shared" si="99"/>
        <v>35.366931918656057</v>
      </c>
      <c r="E668" s="22">
        <f>+VLOOKUP($B668,'Master Data'!$B$22:$W$110,21,FALSE)*$D668</f>
        <v>2.546419098143236</v>
      </c>
      <c r="F668" s="14"/>
      <c r="G668" s="14"/>
      <c r="H668" s="14"/>
      <c r="I668" s="14"/>
    </row>
    <row r="669" spans="1:11" ht="20" customHeight="1">
      <c r="A669" s="20">
        <v>15</v>
      </c>
      <c r="B669" s="19" t="s">
        <v>187</v>
      </c>
      <c r="C669" s="18">
        <v>4</v>
      </c>
      <c r="D669" s="21">
        <f t="shared" si="99"/>
        <v>3.5366931918656057</v>
      </c>
      <c r="E669" s="22">
        <f>+VLOOKUP($B669,'Master Data'!$B$22:$W$110,21,FALSE)*$D669</f>
        <v>0.76746242263483644</v>
      </c>
      <c r="F669" s="14"/>
      <c r="G669" s="14"/>
      <c r="H669" s="14"/>
      <c r="I669" s="14"/>
    </row>
    <row r="670" spans="1:11" ht="20" customHeight="1">
      <c r="A670" s="20">
        <v>16</v>
      </c>
      <c r="B670" s="19" t="s">
        <v>47</v>
      </c>
      <c r="C670" s="18">
        <v>20</v>
      </c>
      <c r="D670" s="21">
        <f t="shared" si="99"/>
        <v>17.683465959328029</v>
      </c>
      <c r="E670" s="22">
        <f>+VLOOKUP($B670,'Master Data'!$B$22:$W$110,21,FALSE)*$D670</f>
        <v>0.56587091069849693</v>
      </c>
      <c r="F670" s="14"/>
      <c r="G670" s="14"/>
      <c r="H670" s="14"/>
      <c r="I670" s="14"/>
    </row>
    <row r="671" spans="1:11" ht="20" customHeight="1">
      <c r="A671" s="20"/>
      <c r="B671" s="24" t="s">
        <v>72</v>
      </c>
      <c r="C671" s="18">
        <f>SUM(C655:C670)</f>
        <v>1131</v>
      </c>
      <c r="D671" s="21">
        <f>SUM(D655:D670)</f>
        <v>1000.0000000000001</v>
      </c>
      <c r="E671" s="22">
        <f>SUM(E655:E670)</f>
        <v>321.71600353669311</v>
      </c>
      <c r="F671" s="14"/>
      <c r="G671" s="14"/>
      <c r="H671" s="14"/>
      <c r="I671" s="14"/>
    </row>
    <row r="672" spans="1:11" ht="20" customHeight="1">
      <c r="A672" s="37"/>
      <c r="B672" s="35" t="s">
        <v>451</v>
      </c>
      <c r="C672" s="37"/>
      <c r="D672" s="38"/>
      <c r="E672" s="22">
        <f>E671*($K$555/100)</f>
        <v>32.171600353669312</v>
      </c>
      <c r="F672" s="14"/>
      <c r="G672" s="14"/>
      <c r="H672" s="14"/>
      <c r="I672" s="14"/>
    </row>
    <row r="673" spans="1:9" ht="20" customHeight="1">
      <c r="A673" s="15"/>
      <c r="B673" s="24" t="s">
        <v>74</v>
      </c>
      <c r="C673" s="17"/>
      <c r="D673" s="25"/>
      <c r="E673" s="22">
        <f>E671+E672</f>
        <v>353.88760389036241</v>
      </c>
      <c r="F673" s="14"/>
      <c r="G673" s="14"/>
      <c r="H673" s="14"/>
      <c r="I673" s="14"/>
    </row>
    <row r="674" spans="1:9" ht="20" customHeight="1">
      <c r="A674" s="20"/>
      <c r="B674" s="27" t="s">
        <v>61</v>
      </c>
      <c r="C674" s="28"/>
      <c r="D674" s="28"/>
      <c r="E674" s="29">
        <f>E673/10</f>
        <v>35.388760389036243</v>
      </c>
      <c r="F674" s="14"/>
      <c r="G674" s="14"/>
      <c r="H674" s="14"/>
      <c r="I674" s="14"/>
    </row>
    <row r="675" spans="1:9" ht="20" customHeight="1">
      <c r="A675" s="30"/>
      <c r="B675" s="31"/>
      <c r="C675" s="16"/>
      <c r="D675" s="16"/>
      <c r="E675" s="36"/>
      <c r="F675" s="14"/>
      <c r="G675" s="14"/>
      <c r="H675" s="14"/>
      <c r="I675" s="14"/>
    </row>
    <row r="676" spans="1:9" ht="20" customHeight="1">
      <c r="A676" s="16"/>
      <c r="B676" s="14"/>
      <c r="C676" s="16"/>
      <c r="D676" s="16"/>
      <c r="E676" s="36"/>
      <c r="F676" s="14"/>
      <c r="G676" s="14"/>
      <c r="H676" s="14"/>
      <c r="I676" s="14"/>
    </row>
    <row r="677" spans="1:9" ht="20" customHeight="1">
      <c r="A677" s="381" t="s">
        <v>49</v>
      </c>
      <c r="B677" s="381"/>
      <c r="C677" s="381"/>
      <c r="D677" s="381"/>
      <c r="E677" s="381"/>
      <c r="F677" s="14"/>
      <c r="G677" s="14"/>
      <c r="H677" s="14"/>
      <c r="I677" s="14"/>
    </row>
    <row r="678" spans="1:9" ht="20" customHeight="1">
      <c r="A678" s="15" t="s">
        <v>27</v>
      </c>
      <c r="B678" s="15" t="s">
        <v>28</v>
      </c>
      <c r="C678" s="15" t="s">
        <v>29</v>
      </c>
      <c r="D678" s="15" t="s">
        <v>29</v>
      </c>
      <c r="E678" s="15" t="s">
        <v>31</v>
      </c>
      <c r="F678" s="14"/>
      <c r="G678" s="14"/>
      <c r="H678" s="14"/>
      <c r="I678" s="14"/>
    </row>
    <row r="679" spans="1:9" ht="20" customHeight="1">
      <c r="A679" s="15"/>
      <c r="B679" s="15"/>
      <c r="C679" s="15" t="s">
        <v>32</v>
      </c>
      <c r="D679" s="15" t="s">
        <v>33</v>
      </c>
      <c r="E679" s="15"/>
      <c r="F679" s="14"/>
      <c r="G679" s="14"/>
      <c r="H679" s="14"/>
      <c r="I679" s="14"/>
    </row>
    <row r="680" spans="1:9" ht="20" customHeight="1">
      <c r="A680" s="20">
        <v>1</v>
      </c>
      <c r="B680" s="19" t="s">
        <v>19</v>
      </c>
      <c r="C680" s="18">
        <v>3</v>
      </c>
      <c r="D680" s="21">
        <f t="shared" ref="D680:D690" si="100">C680*1000/$C$700</f>
        <v>1.6034206306787815</v>
      </c>
      <c r="E680" s="22">
        <f>+VLOOKUP($B680,'Master Data'!$B$22:$W$110,21,FALSE)*$D680</f>
        <v>0.86264029930518449</v>
      </c>
      <c r="F680" s="14"/>
      <c r="G680" s="14"/>
      <c r="H680" s="14"/>
      <c r="I680" s="14"/>
    </row>
    <row r="681" spans="1:9" ht="20" customHeight="1">
      <c r="A681" s="20">
        <v>2</v>
      </c>
      <c r="B681" s="19" t="s">
        <v>185</v>
      </c>
      <c r="C681" s="18">
        <v>100</v>
      </c>
      <c r="D681" s="21">
        <f t="shared" si="100"/>
        <v>53.447354355959384</v>
      </c>
      <c r="E681" s="22">
        <f>+VLOOKUP($B681,'Master Data'!$B$22:$W$110,21,FALSE)*$D681</f>
        <v>32.121859967931591</v>
      </c>
      <c r="F681" s="14"/>
      <c r="G681" s="14"/>
      <c r="H681" s="14"/>
      <c r="I681" s="14"/>
    </row>
    <row r="682" spans="1:9" ht="20" customHeight="1">
      <c r="A682" s="20">
        <v>3</v>
      </c>
      <c r="B682" s="19" t="s">
        <v>64</v>
      </c>
      <c r="C682" s="18">
        <v>30</v>
      </c>
      <c r="D682" s="21">
        <f t="shared" si="100"/>
        <v>16.034206306787816</v>
      </c>
      <c r="E682" s="22">
        <f>+VLOOKUP($B682,'Master Data'!$B$22:$W$110,21,FALSE)*$D682</f>
        <v>9.7969000534473558</v>
      </c>
      <c r="F682" s="14"/>
      <c r="G682" s="14"/>
      <c r="H682" s="14"/>
      <c r="I682" s="14"/>
    </row>
    <row r="683" spans="1:9" ht="20" customHeight="1">
      <c r="A683" s="20">
        <v>4</v>
      </c>
      <c r="B683" s="19" t="s">
        <v>2</v>
      </c>
      <c r="C683" s="18">
        <v>15</v>
      </c>
      <c r="D683" s="21">
        <f t="shared" si="100"/>
        <v>8.0171031533939079</v>
      </c>
      <c r="E683" s="22">
        <f>+VLOOKUP($B683,'Master Data'!$B$22:$W$110,21,FALSE)*$D683</f>
        <v>1.5392838054516302</v>
      </c>
      <c r="F683" s="14"/>
      <c r="G683" s="14"/>
      <c r="H683" s="14"/>
      <c r="I683" s="14"/>
    </row>
    <row r="684" spans="1:9" ht="20" customHeight="1">
      <c r="A684" s="20">
        <v>5</v>
      </c>
      <c r="B684" s="19" t="s">
        <v>3</v>
      </c>
      <c r="C684" s="18">
        <v>15</v>
      </c>
      <c r="D684" s="21">
        <f t="shared" si="100"/>
        <v>8.0171031533939079</v>
      </c>
      <c r="E684" s="22">
        <f>+VLOOKUP($B684,'Master Data'!$B$22:$W$110,21,FALSE)*$D684</f>
        <v>2.437199358631748</v>
      </c>
      <c r="F684" s="14"/>
      <c r="G684" s="14"/>
      <c r="H684" s="14"/>
      <c r="I684" s="14"/>
    </row>
    <row r="685" spans="1:9" ht="20" customHeight="1">
      <c r="A685" s="20">
        <v>6</v>
      </c>
      <c r="B685" s="19" t="s">
        <v>39</v>
      </c>
      <c r="C685" s="18">
        <v>50</v>
      </c>
      <c r="D685" s="21">
        <f t="shared" si="100"/>
        <v>26.723677177979692</v>
      </c>
      <c r="E685" s="22">
        <f>+VLOOKUP($B685,'Master Data'!$B$22:$W$110,21,FALSE)*$D685</f>
        <v>6.413682522715126</v>
      </c>
      <c r="F685" s="14"/>
      <c r="G685" s="14"/>
      <c r="H685" s="14"/>
      <c r="I685" s="14"/>
    </row>
    <row r="686" spans="1:9" ht="20" customHeight="1">
      <c r="A686" s="20">
        <v>7</v>
      </c>
      <c r="B686" s="19" t="s">
        <v>52</v>
      </c>
      <c r="C686" s="18">
        <v>300</v>
      </c>
      <c r="D686" s="21">
        <f t="shared" si="100"/>
        <v>160.34206306787814</v>
      </c>
      <c r="E686" s="22">
        <f>+VLOOKUP($B686,'Master Data'!$B$22:$W$110,21,FALSE)*$D686</f>
        <v>55.478353821485832</v>
      </c>
      <c r="F686" s="14"/>
      <c r="G686" s="14"/>
      <c r="H686" s="14"/>
      <c r="I686" s="14"/>
    </row>
    <row r="687" spans="1:9" ht="20" customHeight="1">
      <c r="A687" s="20">
        <v>8</v>
      </c>
      <c r="B687" s="19" t="s">
        <v>65</v>
      </c>
      <c r="C687" s="18">
        <v>60</v>
      </c>
      <c r="D687" s="21">
        <f t="shared" si="100"/>
        <v>32.068412613575632</v>
      </c>
      <c r="E687" s="22">
        <f>+VLOOKUP($B687,'Master Data'!$B$22:$W$110,21,FALSE)*$D687</f>
        <v>3.8161411010155</v>
      </c>
      <c r="F687" s="14"/>
      <c r="G687" s="14"/>
      <c r="H687" s="14"/>
      <c r="I687" s="14"/>
    </row>
    <row r="688" spans="1:9" ht="20" customHeight="1">
      <c r="A688" s="20">
        <v>9</v>
      </c>
      <c r="B688" s="19" t="s">
        <v>80</v>
      </c>
      <c r="C688" s="18">
        <v>1000</v>
      </c>
      <c r="D688" s="21">
        <f t="shared" si="100"/>
        <v>534.47354355959385</v>
      </c>
      <c r="E688" s="22">
        <f>+VLOOKUP($B688,'Master Data'!$B$22:$W$110,21,FALSE)*$D688</f>
        <v>53.447354355959391</v>
      </c>
      <c r="F688" s="14"/>
      <c r="G688" s="14"/>
      <c r="H688" s="14"/>
      <c r="I688" s="14"/>
    </row>
    <row r="689" spans="1:9" ht="20" customHeight="1">
      <c r="A689" s="20">
        <v>10</v>
      </c>
      <c r="B689" s="19" t="s">
        <v>63</v>
      </c>
      <c r="C689" s="18">
        <v>25</v>
      </c>
      <c r="D689" s="21">
        <f t="shared" si="100"/>
        <v>13.361838588989846</v>
      </c>
      <c r="E689" s="22">
        <f>+VLOOKUP($B689,'Master Data'!$B$22:$W$110,21,FALSE)*$D689</f>
        <v>2.004275788348477</v>
      </c>
      <c r="F689" s="14"/>
      <c r="G689" s="14"/>
      <c r="H689" s="14"/>
      <c r="I689" s="14"/>
    </row>
    <row r="690" spans="1:9" ht="20" customHeight="1">
      <c r="A690" s="20">
        <v>11</v>
      </c>
      <c r="B690" s="19" t="s">
        <v>71</v>
      </c>
      <c r="C690" s="18">
        <v>70</v>
      </c>
      <c r="D690" s="21">
        <f t="shared" si="100"/>
        <v>37.413148049171568</v>
      </c>
      <c r="E690" s="22">
        <f>+VLOOKUP($B690,'Master Data'!$B$22:$W$110,21,FALSE)*$D690</f>
        <v>17.771245323356492</v>
      </c>
      <c r="F690" s="14"/>
      <c r="G690" s="14"/>
      <c r="H690" s="14"/>
      <c r="I690" s="14"/>
    </row>
    <row r="691" spans="1:9" ht="20" customHeight="1">
      <c r="A691" s="20"/>
      <c r="B691" s="19"/>
      <c r="C691" s="18"/>
      <c r="D691" s="21"/>
      <c r="E691" s="22"/>
      <c r="F691" s="14"/>
      <c r="G691" s="14"/>
      <c r="H691" s="14"/>
      <c r="I691" s="14"/>
    </row>
    <row r="692" spans="1:9" ht="20" customHeight="1">
      <c r="A692" s="18"/>
      <c r="B692" s="15" t="s">
        <v>50</v>
      </c>
      <c r="C692" s="18"/>
      <c r="D692" s="21"/>
      <c r="E692" s="22"/>
      <c r="F692" s="14"/>
      <c r="G692" s="14"/>
      <c r="H692" s="14"/>
      <c r="I692" s="14"/>
    </row>
    <row r="693" spans="1:9" ht="20" customHeight="1">
      <c r="A693" s="18">
        <v>1</v>
      </c>
      <c r="B693" s="19" t="s">
        <v>19</v>
      </c>
      <c r="C693" s="18">
        <v>3</v>
      </c>
      <c r="D693" s="21">
        <f t="shared" ref="D693:D699" si="101">C693*1000/$C$700</f>
        <v>1.6034206306787815</v>
      </c>
      <c r="E693" s="22">
        <f>+VLOOKUP($B693,'Master Data'!$B$22:$W$110,21,FALSE)*$D693</f>
        <v>0.86264029930518449</v>
      </c>
      <c r="F693" s="14"/>
      <c r="G693" s="14"/>
      <c r="H693" s="14"/>
      <c r="I693" s="14"/>
    </row>
    <row r="694" spans="1:9" ht="20" customHeight="1">
      <c r="A694" s="18">
        <v>2</v>
      </c>
      <c r="B694" s="19" t="s">
        <v>3</v>
      </c>
      <c r="C694" s="18">
        <v>15</v>
      </c>
      <c r="D694" s="21">
        <f t="shared" si="101"/>
        <v>8.0171031533939079</v>
      </c>
      <c r="E694" s="22">
        <f>+VLOOKUP($B694,'Master Data'!$B$22:$W$110,21,FALSE)*$D694</f>
        <v>2.437199358631748</v>
      </c>
      <c r="F694" s="14"/>
      <c r="G694" s="14"/>
      <c r="H694" s="14"/>
      <c r="I694" s="14"/>
    </row>
    <row r="695" spans="1:9" ht="20" customHeight="1">
      <c r="A695" s="18">
        <v>3</v>
      </c>
      <c r="B695" s="19" t="s">
        <v>2</v>
      </c>
      <c r="C695" s="18">
        <v>15</v>
      </c>
      <c r="D695" s="21">
        <f t="shared" si="101"/>
        <v>8.0171031533939079</v>
      </c>
      <c r="E695" s="22">
        <f>+VLOOKUP($B695,'Master Data'!$B$22:$W$110,21,FALSE)*$D695</f>
        <v>1.5392838054516302</v>
      </c>
      <c r="F695" s="14"/>
      <c r="G695" s="14"/>
      <c r="H695" s="14"/>
      <c r="I695" s="14"/>
    </row>
    <row r="696" spans="1:9" ht="20" customHeight="1">
      <c r="A696" s="18">
        <v>4</v>
      </c>
      <c r="B696" s="19" t="s">
        <v>185</v>
      </c>
      <c r="C696" s="18">
        <v>40</v>
      </c>
      <c r="D696" s="21">
        <f t="shared" si="101"/>
        <v>21.378941742383752</v>
      </c>
      <c r="E696" s="22">
        <f>+VLOOKUP($B696,'Master Data'!$B$22:$W$110,21,FALSE)*$D696</f>
        <v>12.848743987172634</v>
      </c>
      <c r="F696" s="14"/>
      <c r="G696" s="14"/>
      <c r="H696" s="14"/>
      <c r="I696" s="14"/>
    </row>
    <row r="697" spans="1:9" ht="20" customHeight="1">
      <c r="A697" s="18">
        <v>5</v>
      </c>
      <c r="B697" s="19" t="s">
        <v>63</v>
      </c>
      <c r="C697" s="18">
        <v>60</v>
      </c>
      <c r="D697" s="21">
        <f t="shared" si="101"/>
        <v>32.068412613575632</v>
      </c>
      <c r="E697" s="22">
        <f>+VLOOKUP($B697,'Master Data'!$B$22:$W$110,21,FALSE)*$D697</f>
        <v>4.8102618920363449</v>
      </c>
      <c r="F697" s="14"/>
      <c r="G697" s="14"/>
      <c r="H697" s="14"/>
      <c r="I697" s="14"/>
    </row>
    <row r="698" spans="1:9" ht="20" customHeight="1">
      <c r="A698" s="18">
        <v>6</v>
      </c>
      <c r="B698" s="19" t="s">
        <v>41</v>
      </c>
      <c r="C698" s="18">
        <v>20</v>
      </c>
      <c r="D698" s="21">
        <f t="shared" si="101"/>
        <v>10.689470871191876</v>
      </c>
      <c r="E698" s="22">
        <f>+VLOOKUP($B698,'Master Data'!$B$22:$W$110,21,FALSE)*$D698</f>
        <v>1.4110101549973277</v>
      </c>
      <c r="F698" s="14"/>
      <c r="G698" s="14"/>
      <c r="H698" s="14"/>
      <c r="I698" s="14"/>
    </row>
    <row r="699" spans="1:9" ht="20" customHeight="1">
      <c r="A699" s="18">
        <v>7</v>
      </c>
      <c r="B699" s="19" t="s">
        <v>47</v>
      </c>
      <c r="C699" s="18">
        <v>50</v>
      </c>
      <c r="D699" s="21">
        <f t="shared" si="101"/>
        <v>26.723677177979692</v>
      </c>
      <c r="E699" s="22">
        <f>+VLOOKUP($B699,'Master Data'!$B$22:$W$110,21,FALSE)*$D699</f>
        <v>0.85515766969535012</v>
      </c>
      <c r="F699" s="14"/>
      <c r="G699" s="14"/>
      <c r="H699" s="14"/>
      <c r="I699" s="14"/>
    </row>
    <row r="700" spans="1:9" ht="20" customHeight="1">
      <c r="A700" s="18"/>
      <c r="B700" s="39" t="s">
        <v>72</v>
      </c>
      <c r="C700" s="18">
        <f>SUM(C680:C699)</f>
        <v>1871</v>
      </c>
      <c r="D700" s="21">
        <f>SUM(D680:D699)</f>
        <v>1000.0000000000001</v>
      </c>
      <c r="E700" s="22">
        <f>SUM(E680:E699)</f>
        <v>210.45323356493853</v>
      </c>
      <c r="F700" s="14"/>
      <c r="G700" s="14"/>
      <c r="H700" s="14"/>
      <c r="I700" s="14"/>
    </row>
    <row r="701" spans="1:9" ht="20" customHeight="1">
      <c r="A701" s="37"/>
      <c r="B701" s="35" t="s">
        <v>451</v>
      </c>
      <c r="C701" s="37"/>
      <c r="D701" s="38"/>
      <c r="E701" s="25">
        <f>E700*($K$555/100)</f>
        <v>21.045323356493853</v>
      </c>
      <c r="F701" s="14"/>
      <c r="G701" s="14"/>
      <c r="H701" s="14"/>
      <c r="I701" s="14"/>
    </row>
    <row r="702" spans="1:9" ht="20" customHeight="1">
      <c r="A702" s="18"/>
      <c r="B702" s="24" t="s">
        <v>74</v>
      </c>
      <c r="C702" s="17"/>
      <c r="D702" s="25"/>
      <c r="E702" s="25">
        <f>E700+E701</f>
        <v>231.4985569214324</v>
      </c>
      <c r="F702" s="14"/>
      <c r="G702" s="14"/>
      <c r="H702" s="14"/>
      <c r="I702" s="14"/>
    </row>
    <row r="703" spans="1:9" ht="20" customHeight="1">
      <c r="A703" s="20"/>
      <c r="B703" s="27" t="s">
        <v>61</v>
      </c>
      <c r="C703" s="18"/>
      <c r="D703" s="18"/>
      <c r="E703" s="29">
        <f>E702/10</f>
        <v>23.149855692143241</v>
      </c>
      <c r="F703" s="14"/>
      <c r="G703" s="14"/>
      <c r="H703" s="14"/>
      <c r="I703" s="14"/>
    </row>
    <row r="704" spans="1:9" ht="20" customHeight="1">
      <c r="A704" s="16"/>
      <c r="B704" s="14"/>
      <c r="C704" s="16"/>
      <c r="D704" s="16"/>
      <c r="E704" s="36"/>
      <c r="F704" s="14"/>
      <c r="G704" s="14"/>
      <c r="H704" s="14"/>
      <c r="I704" s="14"/>
    </row>
    <row r="705" spans="1:9" ht="20" customHeight="1">
      <c r="A705" s="16"/>
      <c r="B705" s="14"/>
      <c r="C705" s="16"/>
      <c r="D705" s="16"/>
      <c r="E705" s="36"/>
      <c r="F705" s="14"/>
      <c r="G705" s="14"/>
      <c r="H705" s="14"/>
      <c r="I705" s="14"/>
    </row>
    <row r="706" spans="1:9" ht="20" customHeight="1">
      <c r="A706" s="382" t="s">
        <v>51</v>
      </c>
      <c r="B706" s="383"/>
      <c r="C706" s="383"/>
      <c r="D706" s="383"/>
      <c r="E706" s="383"/>
      <c r="F706" s="14"/>
      <c r="G706" s="14"/>
      <c r="H706" s="14"/>
      <c r="I706" s="14"/>
    </row>
    <row r="707" spans="1:9" ht="20" customHeight="1">
      <c r="A707" s="15" t="s">
        <v>27</v>
      </c>
      <c r="B707" s="15" t="s">
        <v>28</v>
      </c>
      <c r="C707" s="15" t="s">
        <v>29</v>
      </c>
      <c r="D707" s="15" t="s">
        <v>29</v>
      </c>
      <c r="E707" s="15" t="s">
        <v>31</v>
      </c>
      <c r="F707" s="14"/>
      <c r="G707" s="14"/>
      <c r="H707" s="14"/>
      <c r="I707" s="14"/>
    </row>
    <row r="708" spans="1:9" ht="20" customHeight="1">
      <c r="A708" s="15"/>
      <c r="B708" s="15"/>
      <c r="C708" s="15" t="s">
        <v>32</v>
      </c>
      <c r="D708" s="15" t="s">
        <v>33</v>
      </c>
      <c r="E708" s="15"/>
      <c r="F708" s="14"/>
      <c r="G708" s="14"/>
      <c r="H708" s="14"/>
      <c r="I708" s="14"/>
    </row>
    <row r="709" spans="1:9" ht="20" customHeight="1">
      <c r="A709" s="20">
        <v>1</v>
      </c>
      <c r="B709" s="19" t="s">
        <v>19</v>
      </c>
      <c r="C709" s="18">
        <v>2</v>
      </c>
      <c r="D709" s="18">
        <v>4</v>
      </c>
      <c r="E709" s="22">
        <f>+VLOOKUP($B709,'Master Data'!$B$22:$W$110,21,FALSE)*$D709</f>
        <v>2.1520000000000001</v>
      </c>
      <c r="F709" s="14"/>
      <c r="G709" s="14"/>
      <c r="H709" s="14"/>
      <c r="I709" s="14"/>
    </row>
    <row r="710" spans="1:9" ht="20" customHeight="1">
      <c r="A710" s="20">
        <v>2</v>
      </c>
      <c r="B710" s="19" t="s">
        <v>43</v>
      </c>
      <c r="C710" s="18">
        <v>200</v>
      </c>
      <c r="D710" s="18">
        <v>421</v>
      </c>
      <c r="E710" s="22">
        <f>+VLOOKUP($B710,'Master Data'!$B$22:$W$110,21,FALSE)*$D710</f>
        <v>37.047999999999995</v>
      </c>
      <c r="F710" s="14"/>
      <c r="G710" s="14"/>
      <c r="H710" s="14"/>
      <c r="I710" s="14"/>
    </row>
    <row r="711" spans="1:9" ht="20" customHeight="1">
      <c r="A711" s="20">
        <v>3</v>
      </c>
      <c r="B711" s="19" t="s">
        <v>66</v>
      </c>
      <c r="C711" s="18">
        <v>60</v>
      </c>
      <c r="D711" s="18">
        <v>126</v>
      </c>
      <c r="E711" s="22">
        <f>+VLOOKUP($B711,'Master Data'!$B$22:$W$110,21,FALSE)*$D711</f>
        <v>17.64</v>
      </c>
      <c r="F711" s="14"/>
      <c r="G711" s="14"/>
      <c r="H711" s="14"/>
      <c r="I711" s="14"/>
    </row>
    <row r="712" spans="1:9" ht="20" customHeight="1">
      <c r="A712" s="20">
        <v>4</v>
      </c>
      <c r="B712" s="19" t="s">
        <v>3</v>
      </c>
      <c r="C712" s="18">
        <v>8</v>
      </c>
      <c r="D712" s="18">
        <v>17</v>
      </c>
      <c r="E712" s="22">
        <f>+VLOOKUP($B712,'Master Data'!$B$22:$W$110,21,FALSE)*$D712</f>
        <v>5.1680000000000001</v>
      </c>
      <c r="F712" s="14"/>
      <c r="G712" s="14"/>
      <c r="H712" s="14"/>
      <c r="I712" s="14"/>
    </row>
    <row r="713" spans="1:9" ht="20" customHeight="1">
      <c r="A713" s="20">
        <v>5</v>
      </c>
      <c r="B713" s="19" t="s">
        <v>52</v>
      </c>
      <c r="C713" s="18">
        <v>35</v>
      </c>
      <c r="D713" s="18">
        <v>74</v>
      </c>
      <c r="E713" s="22">
        <f>+VLOOKUP($B713,'Master Data'!$B$22:$W$110,21,FALSE)*$D713</f>
        <v>25.603999999999999</v>
      </c>
      <c r="F713" s="14"/>
      <c r="G713" s="14"/>
      <c r="H713" s="14"/>
      <c r="I713" s="14"/>
    </row>
    <row r="714" spans="1:9" ht="20" customHeight="1">
      <c r="A714" s="20">
        <v>6</v>
      </c>
      <c r="B714" s="19" t="s">
        <v>39</v>
      </c>
      <c r="C714" s="18">
        <v>1</v>
      </c>
      <c r="D714" s="18">
        <v>2</v>
      </c>
      <c r="E714" s="22">
        <f>+VLOOKUP($B714,'Master Data'!$B$22:$W$110,21,FALSE)*$D714</f>
        <v>0.48</v>
      </c>
      <c r="F714" s="14"/>
      <c r="G714" s="14"/>
      <c r="H714" s="14"/>
      <c r="I714" s="14"/>
    </row>
    <row r="715" spans="1:9" ht="20" customHeight="1">
      <c r="A715" s="20">
        <v>7</v>
      </c>
      <c r="B715" s="19" t="s">
        <v>65</v>
      </c>
      <c r="C715" s="18">
        <v>20</v>
      </c>
      <c r="D715" s="18">
        <v>42</v>
      </c>
      <c r="E715" s="22">
        <f>+VLOOKUP($B715,'Master Data'!$B$22:$W$110,21,FALSE)*$D715</f>
        <v>4.9979999999999993</v>
      </c>
      <c r="F715" s="14"/>
      <c r="G715" s="14"/>
      <c r="H715" s="14"/>
      <c r="I715" s="14"/>
    </row>
    <row r="716" spans="1:9" ht="20" customHeight="1">
      <c r="A716" s="20">
        <v>8</v>
      </c>
      <c r="B716" s="19" t="s">
        <v>185</v>
      </c>
      <c r="C716" s="18">
        <v>30</v>
      </c>
      <c r="D716" s="18">
        <v>64</v>
      </c>
      <c r="E716" s="22">
        <f>+VLOOKUP($B716,'Master Data'!$B$22:$W$110,21,FALSE)*$D716</f>
        <v>38.463999999999999</v>
      </c>
      <c r="F716" s="14"/>
      <c r="G716" s="14"/>
      <c r="H716" s="14"/>
      <c r="I716" s="14"/>
    </row>
    <row r="717" spans="1:9" ht="20" customHeight="1">
      <c r="A717" s="20">
        <v>9</v>
      </c>
      <c r="B717" s="19" t="s">
        <v>181</v>
      </c>
      <c r="C717" s="18">
        <v>10</v>
      </c>
      <c r="D717" s="18">
        <v>21</v>
      </c>
      <c r="E717" s="22">
        <f>+VLOOKUP($B717,'Master Data'!$B$22:$W$110,21,FALSE)*$D717</f>
        <v>6.0059999999999993</v>
      </c>
      <c r="F717" s="14"/>
      <c r="G717" s="14"/>
      <c r="H717" s="14"/>
      <c r="I717" s="14"/>
    </row>
    <row r="718" spans="1:9" ht="20" customHeight="1">
      <c r="A718" s="20">
        <v>10</v>
      </c>
      <c r="B718" s="19" t="s">
        <v>57</v>
      </c>
      <c r="C718" s="18">
        <v>70</v>
      </c>
      <c r="D718" s="18">
        <v>147</v>
      </c>
      <c r="E718" s="22">
        <f>+VLOOKUP($B718,'Master Data'!$B$22:$W$110,21,FALSE)*$D718</f>
        <v>31.163999999999998</v>
      </c>
      <c r="F718" s="14"/>
      <c r="G718" s="14"/>
      <c r="H718" s="14"/>
      <c r="I718" s="14"/>
    </row>
    <row r="719" spans="1:9" ht="20" customHeight="1">
      <c r="A719" s="20">
        <v>11</v>
      </c>
      <c r="B719" s="19" t="s">
        <v>63</v>
      </c>
      <c r="C719" s="18">
        <v>4</v>
      </c>
      <c r="D719" s="18">
        <v>8</v>
      </c>
      <c r="E719" s="22">
        <f>+VLOOKUP($B719,'Master Data'!$B$22:$W$110,21,FALSE)*$D719</f>
        <v>1.2</v>
      </c>
      <c r="F719" s="14"/>
      <c r="G719" s="14"/>
      <c r="H719" s="14"/>
      <c r="I719" s="14"/>
    </row>
    <row r="720" spans="1:9" ht="20" customHeight="1">
      <c r="A720" s="20">
        <v>12</v>
      </c>
      <c r="B720" s="19" t="s">
        <v>71</v>
      </c>
      <c r="C720" s="18">
        <v>15</v>
      </c>
      <c r="D720" s="18">
        <v>32</v>
      </c>
      <c r="E720" s="22">
        <f>+VLOOKUP($B720,'Master Data'!$B$22:$W$110,21,FALSE)*$D720</f>
        <v>15.2</v>
      </c>
      <c r="F720" s="14"/>
      <c r="G720" s="14"/>
      <c r="H720" s="14"/>
      <c r="I720" s="14"/>
    </row>
    <row r="721" spans="1:9" ht="20" customHeight="1">
      <c r="A721" s="20">
        <v>13</v>
      </c>
      <c r="B721" s="19" t="s">
        <v>47</v>
      </c>
      <c r="C721" s="18">
        <v>8</v>
      </c>
      <c r="D721" s="18">
        <v>17</v>
      </c>
      <c r="E721" s="22">
        <f>+VLOOKUP($B721,'Master Data'!$B$22:$W$110,21,FALSE)*$D721</f>
        <v>0.54400000000000004</v>
      </c>
      <c r="F721" s="14"/>
      <c r="G721" s="14"/>
      <c r="H721" s="14"/>
      <c r="I721" s="14"/>
    </row>
    <row r="722" spans="1:9" ht="20" customHeight="1">
      <c r="A722" s="20">
        <v>14</v>
      </c>
      <c r="B722" s="19" t="s">
        <v>187</v>
      </c>
      <c r="C722" s="18">
        <v>1</v>
      </c>
      <c r="D722" s="18">
        <v>2</v>
      </c>
      <c r="E722" s="22">
        <f>+VLOOKUP($B722,'Master Data'!$B$22:$W$110,21,FALSE)*$D722</f>
        <v>0.434</v>
      </c>
      <c r="F722" s="14"/>
      <c r="G722" s="14"/>
      <c r="H722" s="14"/>
      <c r="I722" s="14"/>
    </row>
    <row r="723" spans="1:9" ht="20" customHeight="1">
      <c r="A723" s="20"/>
      <c r="B723" s="17" t="s">
        <v>50</v>
      </c>
      <c r="C723" s="18"/>
      <c r="D723" s="18"/>
      <c r="E723" s="22"/>
      <c r="F723" s="14"/>
      <c r="G723" s="14"/>
      <c r="H723" s="14"/>
      <c r="I723" s="14"/>
    </row>
    <row r="724" spans="1:9" ht="20" customHeight="1">
      <c r="A724" s="20">
        <v>15</v>
      </c>
      <c r="B724" s="19" t="s">
        <v>19</v>
      </c>
      <c r="C724" s="18">
        <v>1</v>
      </c>
      <c r="D724" s="18">
        <v>2</v>
      </c>
      <c r="E724" s="22">
        <f>+VLOOKUP($B724,'Master Data'!$B$22:$W$110,21,FALSE)*$D724</f>
        <v>1.0760000000000001</v>
      </c>
      <c r="F724" s="14"/>
      <c r="G724" s="14"/>
      <c r="H724" s="14"/>
      <c r="I724" s="14"/>
    </row>
    <row r="725" spans="1:9" ht="20" customHeight="1">
      <c r="A725" s="20">
        <v>16</v>
      </c>
      <c r="B725" s="19" t="s">
        <v>3</v>
      </c>
      <c r="C725" s="18">
        <v>1</v>
      </c>
      <c r="D725" s="18">
        <v>2</v>
      </c>
      <c r="E725" s="22">
        <f>+VLOOKUP($B725,'Master Data'!$B$22:$W$110,21,FALSE)*$D725</f>
        <v>0.60799999999999998</v>
      </c>
      <c r="F725" s="14"/>
      <c r="G725" s="14"/>
      <c r="H725" s="14"/>
      <c r="I725" s="14"/>
    </row>
    <row r="726" spans="1:9" ht="20" customHeight="1">
      <c r="A726" s="20">
        <v>17</v>
      </c>
      <c r="B726" s="19" t="s">
        <v>2</v>
      </c>
      <c r="C726" s="18">
        <v>2</v>
      </c>
      <c r="D726" s="18">
        <v>4</v>
      </c>
      <c r="E726" s="22">
        <f>+VLOOKUP($B726,'Master Data'!$B$22:$W$110,21,FALSE)*$D726</f>
        <v>0.76800000000000002</v>
      </c>
      <c r="F726" s="14"/>
      <c r="G726" s="14"/>
      <c r="H726" s="14"/>
      <c r="I726" s="14"/>
    </row>
    <row r="727" spans="1:9" ht="20" customHeight="1">
      <c r="A727" s="20">
        <v>18</v>
      </c>
      <c r="B727" s="19" t="s">
        <v>63</v>
      </c>
      <c r="C727" s="18">
        <v>5</v>
      </c>
      <c r="D727" s="18">
        <v>11</v>
      </c>
      <c r="E727" s="22">
        <f>+VLOOKUP($B727,'Master Data'!$B$22:$W$110,21,FALSE)*$D727</f>
        <v>1.65</v>
      </c>
      <c r="F727" s="14"/>
      <c r="G727" s="14"/>
      <c r="H727" s="14"/>
      <c r="I727" s="14"/>
    </row>
    <row r="728" spans="1:9" ht="20" customHeight="1">
      <c r="A728" s="20">
        <v>19</v>
      </c>
      <c r="B728" s="19" t="s">
        <v>41</v>
      </c>
      <c r="C728" s="18">
        <v>1</v>
      </c>
      <c r="D728" s="18">
        <v>2</v>
      </c>
      <c r="E728" s="22">
        <f>+VLOOKUP($B728,'Master Data'!$B$22:$W$110,21,FALSE)*$D728</f>
        <v>0.26400000000000001</v>
      </c>
      <c r="F728" s="14"/>
      <c r="G728" s="14"/>
      <c r="H728" s="14"/>
      <c r="I728" s="14"/>
    </row>
    <row r="729" spans="1:9" ht="20" customHeight="1">
      <c r="A729" s="20">
        <v>20</v>
      </c>
      <c r="B729" s="19" t="s">
        <v>185</v>
      </c>
      <c r="C729" s="18">
        <v>1</v>
      </c>
      <c r="D729" s="18">
        <v>2</v>
      </c>
      <c r="E729" s="22">
        <f>+VLOOKUP($B729,'Master Data'!$B$22:$W$110,21,FALSE)*$D729</f>
        <v>1.202</v>
      </c>
      <c r="F729" s="14"/>
      <c r="G729" s="14"/>
      <c r="H729" s="14"/>
      <c r="I729" s="14"/>
    </row>
    <row r="730" spans="1:9" ht="20" customHeight="1">
      <c r="A730" s="20"/>
      <c r="B730" s="39" t="s">
        <v>110</v>
      </c>
      <c r="C730" s="17">
        <f>SUM(C709:C729)</f>
        <v>475</v>
      </c>
      <c r="D730" s="17">
        <f>SUM(D709:D729)</f>
        <v>1000</v>
      </c>
      <c r="E730" s="22">
        <f>SUM(E709:E729)</f>
        <v>191.67</v>
      </c>
      <c r="F730" s="14"/>
      <c r="G730" s="14"/>
      <c r="H730" s="14"/>
      <c r="I730" s="14"/>
    </row>
    <row r="731" spans="1:9" ht="20" customHeight="1">
      <c r="A731" s="20"/>
      <c r="B731" s="35" t="s">
        <v>451</v>
      </c>
      <c r="C731" s="18"/>
      <c r="D731" s="18"/>
      <c r="E731" s="22">
        <f>E730*($K$555/100)</f>
        <v>19.166999999999998</v>
      </c>
      <c r="F731" s="14"/>
      <c r="G731" s="14"/>
      <c r="H731" s="14"/>
      <c r="I731" s="14"/>
    </row>
    <row r="732" spans="1:9" ht="20" customHeight="1">
      <c r="A732" s="20"/>
      <c r="B732" s="24" t="s">
        <v>74</v>
      </c>
      <c r="C732" s="18"/>
      <c r="D732" s="18"/>
      <c r="E732" s="22">
        <f>SUM(E730:E731)</f>
        <v>210.83699999999999</v>
      </c>
      <c r="F732" s="14"/>
      <c r="G732" s="14"/>
      <c r="H732" s="14"/>
      <c r="I732" s="14"/>
    </row>
    <row r="733" spans="1:9" ht="20" customHeight="1">
      <c r="A733" s="20"/>
      <c r="B733" s="27" t="s">
        <v>61</v>
      </c>
      <c r="C733" s="60"/>
      <c r="D733" s="60"/>
      <c r="E733" s="59">
        <f>E732/10</f>
        <v>21.0837</v>
      </c>
      <c r="F733" s="14"/>
      <c r="G733" s="14"/>
      <c r="H733" s="14"/>
      <c r="I733" s="14"/>
    </row>
    <row r="734" spans="1:9" ht="20" customHeight="1">
      <c r="A734" s="30"/>
      <c r="B734" s="14"/>
      <c r="C734" s="16"/>
      <c r="D734" s="16"/>
      <c r="E734" s="36"/>
      <c r="F734" s="14"/>
      <c r="G734" s="14"/>
      <c r="H734" s="14"/>
      <c r="I734" s="14"/>
    </row>
    <row r="735" spans="1:9" ht="20" customHeight="1">
      <c r="A735" s="16"/>
      <c r="B735" s="14"/>
      <c r="C735" s="16"/>
      <c r="D735" s="16"/>
      <c r="E735" s="36"/>
      <c r="F735" s="14"/>
      <c r="G735" s="14"/>
      <c r="H735" s="14"/>
      <c r="I735" s="14"/>
    </row>
    <row r="736" spans="1:9" ht="20" customHeight="1">
      <c r="A736" s="16"/>
      <c r="B736" s="14"/>
      <c r="C736" s="16"/>
      <c r="D736" s="16"/>
      <c r="E736" s="36"/>
      <c r="F736" s="14"/>
      <c r="G736" s="14"/>
      <c r="H736" s="14"/>
      <c r="I736" s="14"/>
    </row>
    <row r="737" spans="1:9" ht="20" customHeight="1">
      <c r="A737" s="382" t="s">
        <v>53</v>
      </c>
      <c r="B737" s="383"/>
      <c r="C737" s="383"/>
      <c r="D737" s="383"/>
      <c r="E737" s="383"/>
      <c r="F737" s="14"/>
      <c r="G737" s="14"/>
      <c r="H737" s="14"/>
      <c r="I737" s="14"/>
    </row>
    <row r="738" spans="1:9" ht="20" customHeight="1">
      <c r="A738" s="15" t="s">
        <v>27</v>
      </c>
      <c r="B738" s="15" t="s">
        <v>28</v>
      </c>
      <c r="C738" s="15" t="s">
        <v>29</v>
      </c>
      <c r="D738" s="15" t="s">
        <v>29</v>
      </c>
      <c r="E738" s="15" t="s">
        <v>31</v>
      </c>
      <c r="F738" s="14"/>
      <c r="G738" s="14"/>
      <c r="H738" s="14"/>
      <c r="I738" s="14"/>
    </row>
    <row r="739" spans="1:9" ht="20" customHeight="1">
      <c r="A739" s="15"/>
      <c r="B739" s="15"/>
      <c r="C739" s="15" t="s">
        <v>32</v>
      </c>
      <c r="D739" s="15" t="s">
        <v>33</v>
      </c>
      <c r="E739" s="15"/>
      <c r="F739" s="14"/>
      <c r="G739" s="14"/>
      <c r="H739" s="14"/>
      <c r="I739" s="14"/>
    </row>
    <row r="740" spans="1:9" ht="20" customHeight="1">
      <c r="A740" s="20">
        <v>1</v>
      </c>
      <c r="B740" s="19" t="s">
        <v>19</v>
      </c>
      <c r="C740" s="18">
        <v>2</v>
      </c>
      <c r="D740" s="21">
        <f t="shared" ref="D740:D746" si="102">C740*1000/$C$758</f>
        <v>1.5290519877675841</v>
      </c>
      <c r="E740" s="22">
        <f>+VLOOKUP($B740,'Master Data'!$B$22:$W$110,21,FALSE)*$D740</f>
        <v>0.82262996941896027</v>
      </c>
      <c r="F740" s="14"/>
      <c r="G740" s="14"/>
      <c r="H740" s="14"/>
      <c r="I740" s="14"/>
    </row>
    <row r="741" spans="1:9" ht="20" customHeight="1">
      <c r="A741" s="20">
        <v>2</v>
      </c>
      <c r="B741" s="19" t="s">
        <v>185</v>
      </c>
      <c r="C741" s="18">
        <v>60</v>
      </c>
      <c r="D741" s="21">
        <f t="shared" si="102"/>
        <v>45.871559633027523</v>
      </c>
      <c r="E741" s="22">
        <f>+VLOOKUP($B741,'Master Data'!$B$22:$W$110,21,FALSE)*$D741</f>
        <v>27.568807339449542</v>
      </c>
      <c r="F741" s="14"/>
      <c r="G741" s="14"/>
      <c r="H741" s="14"/>
      <c r="I741" s="14"/>
    </row>
    <row r="742" spans="1:9" ht="20" customHeight="1">
      <c r="A742" s="20">
        <v>3</v>
      </c>
      <c r="B742" s="19" t="s">
        <v>2</v>
      </c>
      <c r="C742" s="18">
        <v>35</v>
      </c>
      <c r="D742" s="21">
        <f t="shared" si="102"/>
        <v>26.75840978593272</v>
      </c>
      <c r="E742" s="22">
        <f>+VLOOKUP($B742,'Master Data'!$B$22:$W$110,21,FALSE)*$D742</f>
        <v>5.137614678899082</v>
      </c>
      <c r="F742" s="14"/>
      <c r="G742" s="14"/>
      <c r="H742" s="14"/>
      <c r="I742" s="14"/>
    </row>
    <row r="743" spans="1:9" ht="20" customHeight="1">
      <c r="A743" s="20">
        <v>4</v>
      </c>
      <c r="B743" s="19" t="s">
        <v>3</v>
      </c>
      <c r="C743" s="18">
        <v>10</v>
      </c>
      <c r="D743" s="21">
        <f t="shared" si="102"/>
        <v>7.6452599388379205</v>
      </c>
      <c r="E743" s="22">
        <f>+VLOOKUP($B743,'Master Data'!$B$22:$W$110,21,FALSE)*$D743</f>
        <v>2.3241590214067278</v>
      </c>
      <c r="F743" s="14"/>
      <c r="G743" s="14"/>
      <c r="H743" s="14"/>
      <c r="I743" s="14"/>
    </row>
    <row r="744" spans="1:9" ht="20" customHeight="1">
      <c r="A744" s="20">
        <v>5</v>
      </c>
      <c r="B744" s="19" t="s">
        <v>63</v>
      </c>
      <c r="C744" s="18">
        <v>5</v>
      </c>
      <c r="D744" s="21">
        <f t="shared" si="102"/>
        <v>3.8226299694189603</v>
      </c>
      <c r="E744" s="22">
        <f>+VLOOKUP($B744,'Master Data'!$B$22:$W$110,21,FALSE)*$D744</f>
        <v>0.57339449541284404</v>
      </c>
      <c r="F744" s="14"/>
      <c r="G744" s="14"/>
      <c r="H744" s="14"/>
      <c r="I744" s="14"/>
    </row>
    <row r="745" spans="1:9" ht="20" customHeight="1">
      <c r="A745" s="20">
        <v>6</v>
      </c>
      <c r="B745" s="19" t="s">
        <v>65</v>
      </c>
      <c r="C745" s="18">
        <v>40</v>
      </c>
      <c r="D745" s="21">
        <f t="shared" si="102"/>
        <v>30.581039755351682</v>
      </c>
      <c r="E745" s="22">
        <f>+VLOOKUP($B745,'Master Data'!$B$22:$W$110,21,FALSE)*$D745</f>
        <v>3.6391437308868499</v>
      </c>
      <c r="F745" s="14"/>
      <c r="G745" s="14"/>
      <c r="H745" s="14"/>
      <c r="I745" s="14"/>
    </row>
    <row r="746" spans="1:9" ht="20" customHeight="1">
      <c r="A746" s="20">
        <v>7</v>
      </c>
      <c r="B746" s="19" t="s">
        <v>54</v>
      </c>
      <c r="C746" s="18">
        <v>1000</v>
      </c>
      <c r="D746" s="21">
        <f t="shared" si="102"/>
        <v>764.52599388379201</v>
      </c>
      <c r="E746" s="22">
        <f>+VLOOKUP($B746,'Master Data'!$B$22:$W$110,21,FALSE)*$D746</f>
        <v>102.08242318334061</v>
      </c>
      <c r="F746" s="14"/>
      <c r="G746" s="14"/>
      <c r="H746" s="14"/>
      <c r="I746" s="14"/>
    </row>
    <row r="747" spans="1:9" ht="20" customHeight="1">
      <c r="A747" s="20"/>
      <c r="B747" s="19"/>
      <c r="C747" s="18"/>
      <c r="D747" s="21"/>
      <c r="E747" s="22"/>
      <c r="F747" s="14"/>
      <c r="G747" s="14"/>
      <c r="H747" s="14"/>
      <c r="I747" s="14"/>
    </row>
    <row r="748" spans="1:9" ht="20" customHeight="1">
      <c r="A748" s="20"/>
      <c r="B748" s="15" t="s">
        <v>50</v>
      </c>
      <c r="C748" s="18"/>
      <c r="D748" s="21"/>
      <c r="E748" s="22"/>
      <c r="F748" s="14"/>
      <c r="G748" s="14"/>
      <c r="H748" s="14"/>
      <c r="I748" s="14"/>
    </row>
    <row r="749" spans="1:9" ht="20" customHeight="1">
      <c r="A749" s="20">
        <v>1</v>
      </c>
      <c r="B749" s="19" t="s">
        <v>19</v>
      </c>
      <c r="C749" s="18">
        <v>1</v>
      </c>
      <c r="D749" s="21">
        <f t="shared" ref="D749:D758" si="103">C749*1000/$C$758</f>
        <v>0.76452599388379205</v>
      </c>
      <c r="E749" s="22">
        <f>+VLOOKUP($B749,'Master Data'!$B$22:$W$110,21,FALSE)*$D749</f>
        <v>0.41131498470948014</v>
      </c>
      <c r="F749" s="14"/>
      <c r="G749" s="14"/>
      <c r="H749" s="14"/>
      <c r="I749" s="14"/>
    </row>
    <row r="750" spans="1:9" ht="20" customHeight="1">
      <c r="A750" s="20">
        <v>2</v>
      </c>
      <c r="B750" s="19" t="s">
        <v>185</v>
      </c>
      <c r="C750" s="18">
        <v>15</v>
      </c>
      <c r="D750" s="21">
        <f t="shared" si="103"/>
        <v>11.467889908256881</v>
      </c>
      <c r="E750" s="22">
        <f>+VLOOKUP($B750,'Master Data'!$B$22:$W$110,21,FALSE)*$D750</f>
        <v>6.8922018348623855</v>
      </c>
      <c r="F750" s="14"/>
      <c r="G750" s="14"/>
      <c r="H750" s="14"/>
      <c r="I750" s="14"/>
    </row>
    <row r="751" spans="1:9" ht="20" customHeight="1">
      <c r="A751" s="20">
        <v>3</v>
      </c>
      <c r="B751" s="19" t="s">
        <v>64</v>
      </c>
      <c r="C751" s="18">
        <v>10</v>
      </c>
      <c r="D751" s="21">
        <f t="shared" si="103"/>
        <v>7.6452599388379205</v>
      </c>
      <c r="E751" s="22">
        <f>+VLOOKUP($B751,'Master Data'!$B$22:$W$110,21,FALSE)*$D751</f>
        <v>4.6712538226299696</v>
      </c>
      <c r="F751" s="14"/>
      <c r="G751" s="14"/>
      <c r="H751" s="14"/>
      <c r="I751" s="14"/>
    </row>
    <row r="752" spans="1:9" ht="20" customHeight="1">
      <c r="A752" s="20">
        <v>4</v>
      </c>
      <c r="B752" s="19" t="s">
        <v>3</v>
      </c>
      <c r="C752" s="18">
        <v>10</v>
      </c>
      <c r="D752" s="21">
        <f t="shared" si="103"/>
        <v>7.6452599388379205</v>
      </c>
      <c r="E752" s="22">
        <f>+VLOOKUP($B752,'Master Data'!$B$22:$W$110,21,FALSE)*$D752</f>
        <v>2.3241590214067278</v>
      </c>
      <c r="F752" s="14"/>
      <c r="G752" s="14"/>
      <c r="H752" s="14"/>
      <c r="I752" s="14"/>
    </row>
    <row r="753" spans="1:9" ht="20" customHeight="1">
      <c r="A753" s="20">
        <v>5</v>
      </c>
      <c r="B753" s="19" t="s">
        <v>2</v>
      </c>
      <c r="C753" s="18">
        <v>15</v>
      </c>
      <c r="D753" s="21">
        <f t="shared" si="103"/>
        <v>11.467889908256881</v>
      </c>
      <c r="E753" s="22">
        <f>+VLOOKUP($B753,'Master Data'!$B$22:$W$110,21,FALSE)*$D753</f>
        <v>2.2018348623853212</v>
      </c>
      <c r="F753" s="14"/>
      <c r="G753" s="14"/>
      <c r="H753" s="14"/>
      <c r="I753" s="14"/>
    </row>
    <row r="754" spans="1:9" ht="20" customHeight="1">
      <c r="A754" s="20">
        <v>6</v>
      </c>
      <c r="B754" s="19" t="s">
        <v>362</v>
      </c>
      <c r="C754" s="18">
        <v>40</v>
      </c>
      <c r="D754" s="21">
        <f t="shared" si="103"/>
        <v>30.581039755351682</v>
      </c>
      <c r="E754" s="22">
        <f>+VLOOKUP($B754,'Master Data'!$B$22:$W$110,21,FALSE)*$D754</f>
        <v>7.3394495412844032</v>
      </c>
      <c r="F754" s="14"/>
      <c r="G754" s="14"/>
      <c r="H754" s="14"/>
      <c r="I754" s="14"/>
    </row>
    <row r="755" spans="1:9" ht="20" customHeight="1">
      <c r="A755" s="20">
        <v>7</v>
      </c>
      <c r="B755" s="19" t="s">
        <v>63</v>
      </c>
      <c r="C755" s="18">
        <v>30</v>
      </c>
      <c r="D755" s="21">
        <f t="shared" si="103"/>
        <v>22.935779816513762</v>
      </c>
      <c r="E755" s="22">
        <f>+VLOOKUP($B755,'Master Data'!$B$22:$W$110,21,FALSE)*$D755</f>
        <v>3.4403669724770642</v>
      </c>
      <c r="F755" s="14"/>
      <c r="G755" s="14"/>
      <c r="H755" s="14"/>
      <c r="I755" s="14"/>
    </row>
    <row r="756" spans="1:9" ht="20" customHeight="1">
      <c r="A756" s="20">
        <v>8</v>
      </c>
      <c r="B756" s="19" t="s">
        <v>41</v>
      </c>
      <c r="C756" s="18">
        <v>20</v>
      </c>
      <c r="D756" s="21">
        <f t="shared" si="103"/>
        <v>15.290519877675841</v>
      </c>
      <c r="E756" s="22">
        <f>+VLOOKUP($B756,'Master Data'!$B$22:$W$110,21,FALSE)*$D756</f>
        <v>2.0183486238532109</v>
      </c>
      <c r="F756" s="14"/>
      <c r="G756" s="14"/>
      <c r="H756" s="14"/>
      <c r="I756" s="14"/>
    </row>
    <row r="757" spans="1:9" ht="20" customHeight="1">
      <c r="A757" s="20">
        <v>9</v>
      </c>
      <c r="B757" s="19" t="s">
        <v>47</v>
      </c>
      <c r="C757" s="18">
        <v>15</v>
      </c>
      <c r="D757" s="21">
        <f t="shared" si="103"/>
        <v>11.467889908256881</v>
      </c>
      <c r="E757" s="22">
        <f>+VLOOKUP($B757,'Master Data'!$B$22:$W$110,21,FALSE)*$D757</f>
        <v>0.3669724770642202</v>
      </c>
      <c r="F757" s="14"/>
      <c r="G757" s="14"/>
      <c r="H757" s="14"/>
      <c r="I757" s="14"/>
    </row>
    <row r="758" spans="1:9" ht="20" customHeight="1">
      <c r="A758" s="20"/>
      <c r="B758" s="39" t="s">
        <v>72</v>
      </c>
      <c r="C758" s="18">
        <f>SUM(C740:C757)</f>
        <v>1308</v>
      </c>
      <c r="D758" s="21">
        <f t="shared" si="103"/>
        <v>1000</v>
      </c>
      <c r="E758" s="22">
        <f>SUM(E740:E757)</f>
        <v>171.81407455948741</v>
      </c>
      <c r="F758" s="14"/>
      <c r="G758" s="14"/>
      <c r="H758" s="14"/>
      <c r="I758" s="14"/>
    </row>
    <row r="759" spans="1:9" ht="20" customHeight="1">
      <c r="A759" s="37"/>
      <c r="B759" s="35" t="s">
        <v>451</v>
      </c>
      <c r="C759" s="37"/>
      <c r="D759" s="38"/>
      <c r="E759" s="22">
        <f>E758*($K$555/100)</f>
        <v>17.18140745594874</v>
      </c>
      <c r="F759" s="14"/>
      <c r="G759" s="14"/>
      <c r="H759" s="14"/>
      <c r="I759" s="14"/>
    </row>
    <row r="760" spans="1:9" ht="20" customHeight="1">
      <c r="A760" s="20"/>
      <c r="B760" s="24" t="s">
        <v>74</v>
      </c>
      <c r="C760" s="17"/>
      <c r="D760" s="25"/>
      <c r="E760" s="22">
        <f>E758+E759</f>
        <v>188.99548201543615</v>
      </c>
      <c r="F760" s="14"/>
      <c r="G760" s="14"/>
      <c r="H760" s="14"/>
      <c r="I760" s="14"/>
    </row>
    <row r="761" spans="1:9" ht="20" customHeight="1">
      <c r="A761" s="20"/>
      <c r="B761" s="27" t="s">
        <v>61</v>
      </c>
      <c r="C761" s="18"/>
      <c r="D761" s="18"/>
      <c r="E761" s="29">
        <f>E760/10</f>
        <v>18.899548201543617</v>
      </c>
      <c r="F761" s="14"/>
      <c r="G761" s="14"/>
      <c r="H761" s="14"/>
      <c r="I761" s="14"/>
    </row>
    <row r="762" spans="1:9" ht="20" customHeight="1">
      <c r="A762" s="30"/>
      <c r="B762" s="14"/>
      <c r="C762" s="36"/>
      <c r="D762" s="32"/>
      <c r="E762" s="36"/>
      <c r="F762" s="14"/>
      <c r="G762" s="14"/>
      <c r="H762" s="14"/>
      <c r="I762" s="14"/>
    </row>
    <row r="763" spans="1:9" ht="20" customHeight="1">
      <c r="A763" s="30"/>
      <c r="B763" s="14"/>
      <c r="C763" s="16"/>
      <c r="D763" s="16"/>
      <c r="E763" s="36"/>
      <c r="F763" s="14"/>
      <c r="G763" s="14"/>
      <c r="H763" s="14"/>
      <c r="I763" s="14"/>
    </row>
    <row r="764" spans="1:9" ht="20" customHeight="1">
      <c r="A764" s="16"/>
      <c r="B764" s="14"/>
      <c r="C764" s="16"/>
      <c r="D764" s="16"/>
      <c r="E764" s="36"/>
      <c r="F764" s="14"/>
      <c r="G764" s="14"/>
      <c r="H764" s="14"/>
      <c r="I764" s="14"/>
    </row>
    <row r="765" spans="1:9" ht="20" customHeight="1">
      <c r="A765" s="382" t="s">
        <v>55</v>
      </c>
      <c r="B765" s="383"/>
      <c r="C765" s="383"/>
      <c r="D765" s="383"/>
      <c r="E765" s="383"/>
      <c r="F765" s="14"/>
      <c r="G765" s="14"/>
      <c r="H765" s="14"/>
      <c r="I765" s="14"/>
    </row>
    <row r="766" spans="1:9" ht="20" customHeight="1">
      <c r="A766" s="15" t="s">
        <v>27</v>
      </c>
      <c r="B766" s="15" t="s">
        <v>28</v>
      </c>
      <c r="C766" s="15" t="s">
        <v>29</v>
      </c>
      <c r="D766" s="15" t="s">
        <v>29</v>
      </c>
      <c r="E766" s="15" t="s">
        <v>31</v>
      </c>
      <c r="F766" s="14"/>
      <c r="G766" s="14"/>
      <c r="H766" s="14"/>
      <c r="I766" s="14"/>
    </row>
    <row r="767" spans="1:9" ht="20" customHeight="1">
      <c r="A767" s="15"/>
      <c r="B767" s="15"/>
      <c r="C767" s="15" t="s">
        <v>32</v>
      </c>
      <c r="D767" s="15" t="s">
        <v>33</v>
      </c>
      <c r="E767" s="15"/>
      <c r="F767" s="14"/>
      <c r="G767" s="14"/>
      <c r="H767" s="14"/>
      <c r="I767" s="14"/>
    </row>
    <row r="768" spans="1:9" ht="20" customHeight="1">
      <c r="A768" s="20">
        <v>1</v>
      </c>
      <c r="B768" s="19" t="s">
        <v>19</v>
      </c>
      <c r="C768" s="18">
        <v>2</v>
      </c>
      <c r="D768" s="21">
        <f t="shared" ref="D768:D786" si="104">C768*1000/$C$798</f>
        <v>4.7058823529411766</v>
      </c>
      <c r="E768" s="22">
        <f>+VLOOKUP($B768,'Master Data'!$B$22:$W$110,21,FALSE)*$D768</f>
        <v>2.5317647058823534</v>
      </c>
      <c r="F768" s="14"/>
      <c r="G768" s="14"/>
      <c r="H768" s="14"/>
      <c r="I768" s="14"/>
    </row>
    <row r="769" spans="1:9" ht="20" customHeight="1">
      <c r="A769" s="20">
        <v>2</v>
      </c>
      <c r="B769" s="19" t="s">
        <v>0</v>
      </c>
      <c r="C769" s="18">
        <v>1</v>
      </c>
      <c r="D769" s="21">
        <f t="shared" si="104"/>
        <v>2.3529411764705883</v>
      </c>
      <c r="E769" s="22">
        <f>+VLOOKUP($B769,'Master Data'!$B$22:$W$110,21,FALSE)*$D769</f>
        <v>2.0729411764705885</v>
      </c>
      <c r="F769" s="14"/>
      <c r="G769" s="14"/>
      <c r="H769" s="14"/>
      <c r="I769" s="14"/>
    </row>
    <row r="770" spans="1:9" ht="20" customHeight="1">
      <c r="A770" s="20">
        <v>3</v>
      </c>
      <c r="B770" s="19" t="s">
        <v>70</v>
      </c>
      <c r="C770" s="18">
        <v>20</v>
      </c>
      <c r="D770" s="21">
        <f t="shared" si="104"/>
        <v>47.058823529411768</v>
      </c>
      <c r="E770" s="22">
        <f>+VLOOKUP($B770,'Master Data'!$B$22:$W$110,21,FALSE)*$D770</f>
        <v>17.176470588235293</v>
      </c>
      <c r="F770" s="14"/>
      <c r="G770" s="14"/>
      <c r="H770" s="14"/>
      <c r="I770" s="14"/>
    </row>
    <row r="771" spans="1:9" ht="20" customHeight="1">
      <c r="A771" s="20">
        <v>4</v>
      </c>
      <c r="B771" s="19" t="s">
        <v>64</v>
      </c>
      <c r="C771" s="18">
        <v>30</v>
      </c>
      <c r="D771" s="21">
        <f t="shared" si="104"/>
        <v>70.588235294117652</v>
      </c>
      <c r="E771" s="22">
        <f>+VLOOKUP($B771,'Master Data'!$B$22:$W$110,21,FALSE)*$D771</f>
        <v>43.129411764705885</v>
      </c>
      <c r="F771" s="14"/>
      <c r="G771" s="14"/>
      <c r="H771" s="14"/>
      <c r="I771" s="14"/>
    </row>
    <row r="772" spans="1:9" ht="20" customHeight="1">
      <c r="A772" s="20">
        <v>5</v>
      </c>
      <c r="B772" s="19" t="s">
        <v>43</v>
      </c>
      <c r="C772" s="18">
        <v>20</v>
      </c>
      <c r="D772" s="21">
        <f t="shared" si="104"/>
        <v>47.058823529411768</v>
      </c>
      <c r="E772" s="22">
        <f>+VLOOKUP($B772,'Master Data'!$B$22:$W$110,21,FALSE)*$D772</f>
        <v>4.1411764705882357</v>
      </c>
      <c r="F772" s="14"/>
      <c r="G772" s="14"/>
      <c r="H772" s="14"/>
      <c r="I772" s="14"/>
    </row>
    <row r="773" spans="1:9" ht="20" customHeight="1">
      <c r="A773" s="20">
        <v>6</v>
      </c>
      <c r="B773" s="19" t="s">
        <v>2</v>
      </c>
      <c r="C773" s="18">
        <v>15</v>
      </c>
      <c r="D773" s="21">
        <f t="shared" si="104"/>
        <v>35.294117647058826</v>
      </c>
      <c r="E773" s="22">
        <f>+VLOOKUP($B773,'Master Data'!$B$22:$W$110,21,FALSE)*$D773</f>
        <v>6.7764705882352949</v>
      </c>
      <c r="F773" s="14"/>
      <c r="G773" s="14"/>
      <c r="H773" s="14"/>
      <c r="I773" s="14"/>
    </row>
    <row r="774" spans="1:9" ht="20" customHeight="1">
      <c r="A774" s="20">
        <v>7</v>
      </c>
      <c r="B774" s="19" t="s">
        <v>3</v>
      </c>
      <c r="C774" s="18">
        <v>15</v>
      </c>
      <c r="D774" s="21">
        <f t="shared" si="104"/>
        <v>35.294117647058826</v>
      </c>
      <c r="E774" s="22">
        <f>+VLOOKUP($B774,'Master Data'!$B$22:$W$110,21,FALSE)*$D774</f>
        <v>10.729411764705883</v>
      </c>
      <c r="F774" s="14"/>
      <c r="G774" s="14"/>
      <c r="H774" s="14"/>
      <c r="I774" s="14"/>
    </row>
    <row r="775" spans="1:9" ht="20" customHeight="1">
      <c r="A775" s="20">
        <v>8</v>
      </c>
      <c r="B775" s="19" t="s">
        <v>52</v>
      </c>
      <c r="C775" s="18">
        <v>35</v>
      </c>
      <c r="D775" s="21">
        <f t="shared" si="104"/>
        <v>82.352941176470594</v>
      </c>
      <c r="E775" s="22">
        <f>+VLOOKUP($B775,'Master Data'!$B$22:$W$110,21,FALSE)*$D775</f>
        <v>28.494117647058822</v>
      </c>
      <c r="F775" s="14"/>
      <c r="G775" s="14"/>
      <c r="H775" s="14"/>
      <c r="I775" s="14"/>
    </row>
    <row r="776" spans="1:9" ht="20" customHeight="1">
      <c r="A776" s="20">
        <v>9</v>
      </c>
      <c r="B776" s="19" t="s">
        <v>363</v>
      </c>
      <c r="C776" s="18">
        <v>1</v>
      </c>
      <c r="D776" s="21">
        <f t="shared" si="104"/>
        <v>2.3529411764705883</v>
      </c>
      <c r="E776" s="22">
        <f>+VLOOKUP($B776,'Master Data'!$B$22:$W$110,21,FALSE)*$D776</f>
        <v>0.23529411764705885</v>
      </c>
      <c r="F776" s="14"/>
      <c r="G776" s="14"/>
      <c r="H776" s="14"/>
      <c r="I776" s="14"/>
    </row>
    <row r="777" spans="1:9" ht="20" customHeight="1">
      <c r="A777" s="20">
        <v>10</v>
      </c>
      <c r="B777" s="19" t="s">
        <v>54</v>
      </c>
      <c r="C777" s="18">
        <v>10</v>
      </c>
      <c r="D777" s="21">
        <f t="shared" si="104"/>
        <v>23.529411764705884</v>
      </c>
      <c r="E777" s="22">
        <f>+VLOOKUP($B777,'Master Data'!$B$22:$W$110,21,FALSE)*$D777</f>
        <v>3.1417366946778711</v>
      </c>
      <c r="F777" s="14"/>
      <c r="G777" s="14"/>
      <c r="H777" s="14"/>
      <c r="I777" s="14"/>
    </row>
    <row r="778" spans="1:9" ht="20" customHeight="1">
      <c r="A778" s="20">
        <v>11</v>
      </c>
      <c r="B778" s="19" t="s">
        <v>65</v>
      </c>
      <c r="C778" s="18">
        <v>50</v>
      </c>
      <c r="D778" s="21">
        <f t="shared" si="104"/>
        <v>117.64705882352941</v>
      </c>
      <c r="E778" s="22">
        <f>+VLOOKUP($B778,'Master Data'!$B$22:$W$110,21,FALSE)*$D778</f>
        <v>13.999999999999998</v>
      </c>
      <c r="F778" s="14"/>
      <c r="G778" s="14"/>
      <c r="H778" s="14"/>
      <c r="I778" s="14"/>
    </row>
    <row r="779" spans="1:9" ht="20" customHeight="1">
      <c r="A779" s="20">
        <v>12</v>
      </c>
      <c r="B779" s="19" t="s">
        <v>56</v>
      </c>
      <c r="C779" s="18">
        <v>5</v>
      </c>
      <c r="D779" s="21">
        <f t="shared" si="104"/>
        <v>11.764705882352942</v>
      </c>
      <c r="E779" s="22">
        <f>+VLOOKUP($B779,'Master Data'!$B$22:$W$110,21,FALSE)*$D779</f>
        <v>2.8996862745098038</v>
      </c>
      <c r="F779" s="14"/>
      <c r="G779" s="14"/>
      <c r="H779" s="14"/>
      <c r="I779" s="14"/>
    </row>
    <row r="780" spans="1:9" ht="20" customHeight="1">
      <c r="A780" s="20">
        <v>13</v>
      </c>
      <c r="B780" s="19" t="s">
        <v>41</v>
      </c>
      <c r="C780" s="18">
        <v>1</v>
      </c>
      <c r="D780" s="21">
        <f t="shared" si="104"/>
        <v>2.3529411764705883</v>
      </c>
      <c r="E780" s="22">
        <f>+VLOOKUP($B780,'Master Data'!$B$22:$W$110,21,FALSE)*$D780</f>
        <v>0.31058823529411766</v>
      </c>
      <c r="F780" s="14"/>
      <c r="G780" s="14"/>
      <c r="H780" s="14"/>
      <c r="I780" s="14"/>
    </row>
    <row r="781" spans="1:9" ht="20" customHeight="1">
      <c r="A781" s="20">
        <v>14</v>
      </c>
      <c r="B781" s="19" t="s">
        <v>66</v>
      </c>
      <c r="C781" s="18">
        <v>20</v>
      </c>
      <c r="D781" s="21">
        <f t="shared" si="104"/>
        <v>47.058823529411768</v>
      </c>
      <c r="E781" s="22">
        <f>+VLOOKUP($B781,'Master Data'!$B$22:$W$110,21,FALSE)*$D781</f>
        <v>6.5882352941176485</v>
      </c>
      <c r="F781" s="14"/>
      <c r="G781" s="14"/>
      <c r="H781" s="14"/>
      <c r="I781" s="14"/>
    </row>
    <row r="782" spans="1:9" ht="20" customHeight="1">
      <c r="A782" s="20">
        <v>15</v>
      </c>
      <c r="B782" s="19" t="s">
        <v>47</v>
      </c>
      <c r="C782" s="18">
        <v>15</v>
      </c>
      <c r="D782" s="21">
        <f t="shared" si="104"/>
        <v>35.294117647058826</v>
      </c>
      <c r="E782" s="22">
        <f>+VLOOKUP($B782,'Master Data'!$B$22:$W$110,21,FALSE)*$D782</f>
        <v>1.1294117647058826</v>
      </c>
      <c r="F782" s="14"/>
      <c r="G782" s="14"/>
      <c r="H782" s="14"/>
      <c r="I782" s="14"/>
    </row>
    <row r="783" spans="1:9" ht="20" customHeight="1">
      <c r="A783" s="20">
        <v>16</v>
      </c>
      <c r="B783" s="19" t="s">
        <v>63</v>
      </c>
      <c r="C783" s="18">
        <v>5</v>
      </c>
      <c r="D783" s="21">
        <f t="shared" si="104"/>
        <v>11.764705882352942</v>
      </c>
      <c r="E783" s="22">
        <f>+VLOOKUP($B783,'Master Data'!$B$22:$W$110,21,FALSE)*$D783</f>
        <v>1.7647058823529413</v>
      </c>
      <c r="F783" s="14"/>
      <c r="G783" s="14"/>
      <c r="H783" s="14"/>
      <c r="I783" s="14"/>
    </row>
    <row r="784" spans="1:9" ht="20" customHeight="1">
      <c r="A784" s="20">
        <v>17</v>
      </c>
      <c r="B784" s="19" t="s">
        <v>71</v>
      </c>
      <c r="C784" s="18">
        <v>50</v>
      </c>
      <c r="D784" s="21">
        <f t="shared" si="104"/>
        <v>117.64705882352941</v>
      </c>
      <c r="E784" s="22">
        <f>+VLOOKUP($B784,'Master Data'!$B$22:$W$110,21,FALSE)*$D784</f>
        <v>55.882352941176464</v>
      </c>
      <c r="F784" s="14"/>
      <c r="G784" s="14"/>
      <c r="H784" s="14"/>
      <c r="I784" s="14"/>
    </row>
    <row r="785" spans="1:9" ht="20" customHeight="1">
      <c r="A785" s="20">
        <v>18</v>
      </c>
      <c r="B785" s="19" t="s">
        <v>187</v>
      </c>
      <c r="C785" s="18">
        <v>2</v>
      </c>
      <c r="D785" s="21">
        <f t="shared" si="104"/>
        <v>4.7058823529411766</v>
      </c>
      <c r="E785" s="22">
        <f>+VLOOKUP($B785,'Master Data'!$B$22:$W$110,21,FALSE)*$D785</f>
        <v>1.0211764705882354</v>
      </c>
      <c r="F785" s="14"/>
      <c r="G785" s="14"/>
      <c r="H785" s="14"/>
      <c r="I785" s="14"/>
    </row>
    <row r="786" spans="1:9" ht="20" customHeight="1">
      <c r="A786" s="20">
        <v>19</v>
      </c>
      <c r="B786" s="19" t="s">
        <v>57</v>
      </c>
      <c r="C786" s="18">
        <v>50</v>
      </c>
      <c r="D786" s="21">
        <f t="shared" si="104"/>
        <v>117.64705882352941</v>
      </c>
      <c r="E786" s="22">
        <f>+VLOOKUP($B786,'Master Data'!$B$22:$W$110,21,FALSE)*$D786</f>
        <v>24.941176470588232</v>
      </c>
      <c r="F786" s="14"/>
      <c r="G786" s="14"/>
      <c r="H786" s="14"/>
      <c r="I786" s="14"/>
    </row>
    <row r="787" spans="1:9" ht="20" customHeight="1">
      <c r="A787" s="18"/>
      <c r="B787" s="23"/>
      <c r="C787" s="18"/>
      <c r="D787" s="21"/>
      <c r="E787" s="22"/>
      <c r="F787" s="14"/>
      <c r="G787" s="14"/>
      <c r="H787" s="14"/>
      <c r="I787" s="14"/>
    </row>
    <row r="788" spans="1:9" ht="20" customHeight="1">
      <c r="A788" s="18"/>
      <c r="B788" s="15" t="s">
        <v>50</v>
      </c>
      <c r="C788" s="18"/>
      <c r="D788" s="21"/>
      <c r="E788" s="22"/>
      <c r="F788" s="14"/>
      <c r="G788" s="14"/>
      <c r="H788" s="14"/>
      <c r="I788" s="14"/>
    </row>
    <row r="789" spans="1:9" ht="20" customHeight="1">
      <c r="A789" s="18">
        <v>1</v>
      </c>
      <c r="B789" s="19" t="s">
        <v>19</v>
      </c>
      <c r="C789" s="18">
        <v>2</v>
      </c>
      <c r="D789" s="21">
        <f t="shared" ref="D789:D797" si="105">C789*1000/$C$798</f>
        <v>4.7058823529411766</v>
      </c>
      <c r="E789" s="22">
        <f>+VLOOKUP($B789,'Master Data'!$B$22:$W$110,21,FALSE)*$D789</f>
        <v>2.5317647058823534</v>
      </c>
      <c r="F789" s="14"/>
      <c r="G789" s="14"/>
      <c r="H789" s="14"/>
      <c r="I789" s="14"/>
    </row>
    <row r="790" spans="1:9" ht="20" customHeight="1">
      <c r="A790" s="18">
        <v>2</v>
      </c>
      <c r="B790" s="19" t="s">
        <v>43</v>
      </c>
      <c r="C790" s="18">
        <v>5</v>
      </c>
      <c r="D790" s="21">
        <f t="shared" si="105"/>
        <v>11.764705882352942</v>
      </c>
      <c r="E790" s="22">
        <f>+VLOOKUP($B790,'Master Data'!$B$22:$W$110,21,FALSE)*$D790</f>
        <v>1.0352941176470589</v>
      </c>
      <c r="F790" s="14"/>
      <c r="G790" s="14"/>
      <c r="H790" s="14"/>
      <c r="I790" s="14"/>
    </row>
    <row r="791" spans="1:9" ht="20" customHeight="1">
      <c r="A791" s="18">
        <v>3</v>
      </c>
      <c r="B791" s="19" t="s">
        <v>3</v>
      </c>
      <c r="C791" s="18">
        <v>2</v>
      </c>
      <c r="D791" s="21">
        <f t="shared" si="105"/>
        <v>4.7058823529411766</v>
      </c>
      <c r="E791" s="22">
        <f>+VLOOKUP($B791,'Master Data'!$B$22:$W$110,21,FALSE)*$D791</f>
        <v>1.4305882352941177</v>
      </c>
      <c r="F791" s="14"/>
      <c r="G791" s="14"/>
      <c r="H791" s="14"/>
      <c r="I791" s="14"/>
    </row>
    <row r="792" spans="1:9" ht="20" customHeight="1">
      <c r="A792" s="18">
        <v>4</v>
      </c>
      <c r="B792" s="19" t="s">
        <v>39</v>
      </c>
      <c r="C792" s="18">
        <v>2</v>
      </c>
      <c r="D792" s="21">
        <f t="shared" si="105"/>
        <v>4.7058823529411766</v>
      </c>
      <c r="E792" s="22">
        <f>+VLOOKUP($B792,'Master Data'!$B$22:$W$110,21,FALSE)*$D792</f>
        <v>1.1294117647058823</v>
      </c>
      <c r="F792" s="14"/>
      <c r="G792" s="14"/>
      <c r="H792" s="14"/>
      <c r="I792" s="14"/>
    </row>
    <row r="793" spans="1:9" ht="20" customHeight="1">
      <c r="A793" s="18">
        <v>5</v>
      </c>
      <c r="B793" s="19" t="s">
        <v>54</v>
      </c>
      <c r="C793" s="18">
        <v>50</v>
      </c>
      <c r="D793" s="21">
        <f t="shared" si="105"/>
        <v>117.64705882352941</v>
      </c>
      <c r="E793" s="22">
        <f>+VLOOKUP($B793,'Master Data'!$B$22:$W$110,21,FALSE)*$D793</f>
        <v>15.708683473389355</v>
      </c>
      <c r="F793" s="14"/>
      <c r="G793" s="14"/>
      <c r="H793" s="14"/>
      <c r="I793" s="14"/>
    </row>
    <row r="794" spans="1:9" ht="20" customHeight="1">
      <c r="A794" s="18">
        <v>6</v>
      </c>
      <c r="B794" s="19" t="s">
        <v>41</v>
      </c>
      <c r="C794" s="18">
        <v>1</v>
      </c>
      <c r="D794" s="21">
        <f t="shared" si="105"/>
        <v>2.3529411764705883</v>
      </c>
      <c r="E794" s="22">
        <f>+VLOOKUP($B794,'Master Data'!$B$22:$W$110,21,FALSE)*$D794</f>
        <v>0.31058823529411766</v>
      </c>
      <c r="F794" s="14"/>
      <c r="G794" s="14"/>
      <c r="H794" s="14"/>
      <c r="I794" s="14"/>
    </row>
    <row r="795" spans="1:9" ht="20" customHeight="1">
      <c r="A795" s="18">
        <v>7</v>
      </c>
      <c r="B795" s="19" t="s">
        <v>66</v>
      </c>
      <c r="C795" s="18">
        <v>1</v>
      </c>
      <c r="D795" s="21">
        <f t="shared" si="105"/>
        <v>2.3529411764705883</v>
      </c>
      <c r="E795" s="22">
        <f>+VLOOKUP($B795,'Master Data'!$B$22:$W$110,21,FALSE)*$D795</f>
        <v>0.3294117647058824</v>
      </c>
      <c r="F795" s="14"/>
      <c r="G795" s="14"/>
      <c r="H795" s="14"/>
      <c r="I795" s="14"/>
    </row>
    <row r="796" spans="1:9" ht="20" customHeight="1">
      <c r="A796" s="18">
        <v>8</v>
      </c>
      <c r="B796" s="19" t="s">
        <v>63</v>
      </c>
      <c r="C796" s="18">
        <v>10</v>
      </c>
      <c r="D796" s="21">
        <f t="shared" si="105"/>
        <v>23.529411764705884</v>
      </c>
      <c r="E796" s="22">
        <f>+VLOOKUP($B796,'Master Data'!$B$22:$W$110,21,FALSE)*$D796</f>
        <v>3.5294117647058827</v>
      </c>
      <c r="F796" s="14"/>
      <c r="G796" s="14"/>
      <c r="H796" s="14"/>
      <c r="I796" s="14"/>
    </row>
    <row r="797" spans="1:9" ht="20" customHeight="1">
      <c r="A797" s="18">
        <v>9</v>
      </c>
      <c r="B797" s="19" t="s">
        <v>57</v>
      </c>
      <c r="C797" s="18">
        <v>5</v>
      </c>
      <c r="D797" s="21">
        <f t="shared" si="105"/>
        <v>11.764705882352942</v>
      </c>
      <c r="E797" s="22">
        <f>+VLOOKUP($B797,'Master Data'!$B$22:$W$110,21,FALSE)*$D797</f>
        <v>2.4941176470588236</v>
      </c>
      <c r="F797" s="14"/>
      <c r="G797" s="14"/>
      <c r="H797" s="14"/>
      <c r="I797" s="14"/>
    </row>
    <row r="798" spans="1:9" ht="20" customHeight="1">
      <c r="A798" s="18"/>
      <c r="B798" s="39" t="s">
        <v>72</v>
      </c>
      <c r="C798" s="18">
        <f>SUM(C768:C797)</f>
        <v>425</v>
      </c>
      <c r="D798" s="21">
        <f>SUM(D768:D797)</f>
        <v>1000.0000000000001</v>
      </c>
      <c r="E798" s="22">
        <f>SUM(E768:E797)</f>
        <v>255.46540056022411</v>
      </c>
      <c r="F798" s="14"/>
      <c r="G798" s="14"/>
      <c r="H798" s="14"/>
      <c r="I798" s="14"/>
    </row>
    <row r="799" spans="1:9" ht="20" customHeight="1">
      <c r="A799" s="37"/>
      <c r="B799" s="35" t="s">
        <v>451</v>
      </c>
      <c r="C799" s="37"/>
      <c r="D799" s="38"/>
      <c r="E799" s="22">
        <f>E798*($K$555/100)</f>
        <v>25.546540056022412</v>
      </c>
      <c r="F799" s="14"/>
      <c r="G799" s="14"/>
      <c r="H799" s="14"/>
      <c r="I799" s="14"/>
    </row>
    <row r="800" spans="1:9" ht="20" customHeight="1">
      <c r="A800" s="18"/>
      <c r="B800" s="24" t="s">
        <v>74</v>
      </c>
      <c r="C800" s="17"/>
      <c r="D800" s="25"/>
      <c r="E800" s="25">
        <f>E798+E799</f>
        <v>281.01194061624653</v>
      </c>
      <c r="F800" s="14"/>
      <c r="G800" s="14"/>
      <c r="H800" s="14"/>
      <c r="I800" s="14"/>
    </row>
    <row r="801" spans="1:9" ht="20" customHeight="1">
      <c r="A801" s="20"/>
      <c r="B801" s="27" t="s">
        <v>61</v>
      </c>
      <c r="C801" s="18"/>
      <c r="D801" s="18"/>
      <c r="E801" s="29">
        <f>E800/10</f>
        <v>28.101194061624653</v>
      </c>
      <c r="F801" s="14"/>
      <c r="G801" s="14"/>
      <c r="H801" s="14"/>
      <c r="I801" s="14"/>
    </row>
    <row r="802" spans="1:9" ht="20" customHeight="1">
      <c r="A802" s="16"/>
      <c r="B802" s="14"/>
      <c r="C802" s="36"/>
      <c r="D802" s="32"/>
      <c r="E802" s="36"/>
      <c r="F802" s="14"/>
      <c r="G802" s="14"/>
      <c r="H802" s="14"/>
      <c r="I802" s="14"/>
    </row>
    <row r="803" spans="1:9" ht="20" customHeight="1">
      <c r="A803" s="16"/>
      <c r="B803" s="14"/>
      <c r="C803" s="16"/>
      <c r="D803" s="16"/>
      <c r="E803" s="36"/>
      <c r="F803" s="14"/>
      <c r="G803" s="14"/>
      <c r="H803" s="14"/>
      <c r="I803" s="14"/>
    </row>
    <row r="804" spans="1:9" ht="20" customHeight="1">
      <c r="A804" s="381" t="s">
        <v>111</v>
      </c>
      <c r="B804" s="381"/>
      <c r="C804" s="381"/>
      <c r="D804" s="381"/>
      <c r="E804" s="381"/>
      <c r="F804" s="14"/>
      <c r="G804" s="14"/>
      <c r="H804" s="14"/>
      <c r="I804" s="14"/>
    </row>
    <row r="805" spans="1:9" ht="20" customHeight="1">
      <c r="A805" s="15" t="s">
        <v>27</v>
      </c>
      <c r="B805" s="15" t="s">
        <v>28</v>
      </c>
      <c r="C805" s="15" t="s">
        <v>29</v>
      </c>
      <c r="D805" s="15" t="s">
        <v>29</v>
      </c>
      <c r="E805" s="15" t="s">
        <v>31</v>
      </c>
      <c r="F805" s="14"/>
      <c r="G805" s="14"/>
      <c r="H805" s="14"/>
      <c r="I805" s="14"/>
    </row>
    <row r="806" spans="1:9" ht="20" customHeight="1">
      <c r="A806" s="15"/>
      <c r="B806" s="15"/>
      <c r="C806" s="15" t="s">
        <v>32</v>
      </c>
      <c r="D806" s="15" t="s">
        <v>33</v>
      </c>
      <c r="E806" s="15"/>
      <c r="F806" s="14"/>
      <c r="G806" s="14"/>
      <c r="H806" s="14"/>
      <c r="I806" s="14"/>
    </row>
    <row r="807" spans="1:9" ht="20" customHeight="1">
      <c r="A807" s="20">
        <v>1</v>
      </c>
      <c r="B807" s="19" t="s">
        <v>19</v>
      </c>
      <c r="C807" s="18">
        <v>7</v>
      </c>
      <c r="D807" s="21">
        <f t="shared" ref="D807:D823" si="106">C807*1000/$C$824</f>
        <v>4.895104895104895</v>
      </c>
      <c r="E807" s="22">
        <f>+VLOOKUP($B807,'Master Data'!$B$22:$W$110,21,FALSE)*$D807</f>
        <v>2.6335664335664335</v>
      </c>
      <c r="F807" s="14"/>
      <c r="G807" s="14"/>
      <c r="H807" s="14"/>
      <c r="I807" s="14"/>
    </row>
    <row r="808" spans="1:9" ht="20" customHeight="1">
      <c r="A808" s="20">
        <v>2</v>
      </c>
      <c r="B808" s="19" t="s">
        <v>0</v>
      </c>
      <c r="C808" s="18">
        <v>1</v>
      </c>
      <c r="D808" s="21">
        <f t="shared" si="106"/>
        <v>0.69930069930069927</v>
      </c>
      <c r="E808" s="22">
        <f>+VLOOKUP($B808,'Master Data'!$B$22:$W$110,21,FALSE)*$D808</f>
        <v>0.61608391608391611</v>
      </c>
      <c r="F808" s="14"/>
      <c r="G808" s="14"/>
      <c r="H808" s="14"/>
      <c r="I808" s="14"/>
    </row>
    <row r="809" spans="1:9" ht="20" customHeight="1">
      <c r="A809" s="20">
        <v>3</v>
      </c>
      <c r="B809" s="19" t="s">
        <v>544</v>
      </c>
      <c r="C809" s="18">
        <v>1</v>
      </c>
      <c r="D809" s="21">
        <f t="shared" si="106"/>
        <v>0.69930069930069927</v>
      </c>
      <c r="E809" s="22">
        <f>+VLOOKUP($B809,'Master Data'!$B$22:$W$110,21,FALSE)*$D809</f>
        <v>2.1965034965034964</v>
      </c>
      <c r="F809" s="14"/>
      <c r="G809" s="14"/>
      <c r="H809" s="14"/>
      <c r="I809" s="14"/>
    </row>
    <row r="810" spans="1:9" ht="20" customHeight="1">
      <c r="A810" s="20">
        <v>4</v>
      </c>
      <c r="B810" s="19" t="s">
        <v>43</v>
      </c>
      <c r="C810" s="18">
        <v>650</v>
      </c>
      <c r="D810" s="21">
        <f t="shared" si="106"/>
        <v>454.54545454545456</v>
      </c>
      <c r="E810" s="22">
        <f>+VLOOKUP($B810,'Master Data'!$B$22:$W$110,21,FALSE)*$D810</f>
        <v>40</v>
      </c>
      <c r="F810" s="14"/>
      <c r="G810" s="14"/>
      <c r="H810" s="14"/>
      <c r="I810" s="14"/>
    </row>
    <row r="811" spans="1:9" ht="20" customHeight="1">
      <c r="A811" s="20">
        <v>5</v>
      </c>
      <c r="B811" s="19" t="s">
        <v>1</v>
      </c>
      <c r="C811" s="18">
        <v>1</v>
      </c>
      <c r="D811" s="21">
        <f t="shared" si="106"/>
        <v>0.69930069930069927</v>
      </c>
      <c r="E811" s="22">
        <f>+VLOOKUP($B811,'Master Data'!$B$22:$W$110,21,FALSE)*$D811</f>
        <v>0.83286713286713288</v>
      </c>
      <c r="F811" s="14"/>
      <c r="G811" s="14"/>
      <c r="H811" s="14"/>
      <c r="I811" s="14"/>
    </row>
    <row r="812" spans="1:9" ht="20" customHeight="1">
      <c r="A812" s="20">
        <v>6</v>
      </c>
      <c r="B812" s="19" t="s">
        <v>2</v>
      </c>
      <c r="C812" s="18">
        <v>10</v>
      </c>
      <c r="D812" s="21">
        <f t="shared" si="106"/>
        <v>6.9930069930069934</v>
      </c>
      <c r="E812" s="22">
        <f>+VLOOKUP($B812,'Master Data'!$B$22:$W$110,21,FALSE)*$D812</f>
        <v>1.3426573426573427</v>
      </c>
      <c r="F812" s="14"/>
      <c r="G812" s="14"/>
      <c r="H812" s="14"/>
      <c r="I812" s="14"/>
    </row>
    <row r="813" spans="1:9" ht="20" customHeight="1">
      <c r="A813" s="20">
        <v>7</v>
      </c>
      <c r="B813" s="19" t="s">
        <v>3</v>
      </c>
      <c r="C813" s="18">
        <v>10</v>
      </c>
      <c r="D813" s="21">
        <f t="shared" si="106"/>
        <v>6.9930069930069934</v>
      </c>
      <c r="E813" s="22">
        <f>+VLOOKUP($B813,'Master Data'!$B$22:$W$110,21,FALSE)*$D813</f>
        <v>2.1258741258741258</v>
      </c>
      <c r="F813" s="14"/>
      <c r="G813" s="14"/>
      <c r="H813" s="14"/>
      <c r="I813" s="14"/>
    </row>
    <row r="814" spans="1:9" ht="20" customHeight="1">
      <c r="A814" s="20">
        <v>8</v>
      </c>
      <c r="B814" s="19" t="s">
        <v>68</v>
      </c>
      <c r="C814" s="18">
        <v>7</v>
      </c>
      <c r="D814" s="21">
        <f t="shared" si="106"/>
        <v>4.895104895104895</v>
      </c>
      <c r="E814" s="22">
        <f>+VLOOKUP($B814,'Master Data'!$B$22:$W$110,21,FALSE)*$D814</f>
        <v>2.2223776223776226</v>
      </c>
      <c r="F814" s="14"/>
      <c r="G814" s="14"/>
      <c r="H814" s="14"/>
      <c r="I814" s="14"/>
    </row>
    <row r="815" spans="1:9" ht="20" customHeight="1">
      <c r="A815" s="20">
        <v>9</v>
      </c>
      <c r="B815" s="19" t="s">
        <v>40</v>
      </c>
      <c r="C815" s="18">
        <v>3</v>
      </c>
      <c r="D815" s="21">
        <f t="shared" si="106"/>
        <v>2.0979020979020979</v>
      </c>
      <c r="E815" s="22">
        <f>+VLOOKUP($B815,'Master Data'!$B$22:$W$110,21,FALSE)*$D815</f>
        <v>0.20979020979020979</v>
      </c>
      <c r="F815" s="14"/>
      <c r="G815" s="14"/>
      <c r="H815" s="14"/>
      <c r="I815" s="14"/>
    </row>
    <row r="816" spans="1:9" ht="20" customHeight="1">
      <c r="A816" s="20">
        <v>10</v>
      </c>
      <c r="B816" s="19" t="s">
        <v>67</v>
      </c>
      <c r="C816" s="18">
        <v>170</v>
      </c>
      <c r="D816" s="21">
        <f t="shared" si="106"/>
        <v>118.88111888111888</v>
      </c>
      <c r="E816" s="22">
        <f>+VLOOKUP($B816,'Master Data'!$B$22:$W$110,21,FALSE)*$D816</f>
        <v>14.741258741258742</v>
      </c>
      <c r="F816" s="14"/>
      <c r="G816" s="14"/>
      <c r="H816" s="14"/>
      <c r="I816" s="14"/>
    </row>
    <row r="817" spans="1:9" ht="20" customHeight="1">
      <c r="A817" s="20">
        <v>11</v>
      </c>
      <c r="B817" s="19" t="s">
        <v>41</v>
      </c>
      <c r="C817" s="18">
        <v>25</v>
      </c>
      <c r="D817" s="21">
        <f t="shared" si="106"/>
        <v>17.482517482517483</v>
      </c>
      <c r="E817" s="22">
        <f>+VLOOKUP($B817,'Master Data'!$B$22:$W$110,21,FALSE)*$D817</f>
        <v>2.3076923076923079</v>
      </c>
      <c r="F817" s="14"/>
      <c r="G817" s="14"/>
      <c r="H817" s="14"/>
      <c r="I817" s="14"/>
    </row>
    <row r="818" spans="1:9" ht="20" customHeight="1">
      <c r="A818" s="20">
        <v>12</v>
      </c>
      <c r="B818" s="19" t="s">
        <v>64</v>
      </c>
      <c r="C818" s="18">
        <v>5</v>
      </c>
      <c r="D818" s="21">
        <f t="shared" si="106"/>
        <v>3.4965034965034967</v>
      </c>
      <c r="E818" s="22">
        <f>+VLOOKUP($B818,'Master Data'!$B$22:$W$110,21,FALSE)*$D818</f>
        <v>2.1363636363636362</v>
      </c>
      <c r="F818" s="14"/>
      <c r="G818" s="14"/>
      <c r="H818" s="14"/>
      <c r="I818" s="14"/>
    </row>
    <row r="819" spans="1:9" ht="20" customHeight="1">
      <c r="A819" s="20">
        <v>13</v>
      </c>
      <c r="B819" s="19" t="s">
        <v>42</v>
      </c>
      <c r="C819" s="18">
        <v>70</v>
      </c>
      <c r="D819" s="21">
        <f t="shared" si="106"/>
        <v>48.951048951048953</v>
      </c>
      <c r="E819" s="22">
        <f>+VLOOKUP($B819,'Master Data'!$B$22:$W$110,21,FALSE)*$D819</f>
        <v>3.5244755244755246</v>
      </c>
      <c r="F819" s="14"/>
      <c r="G819" s="14"/>
      <c r="H819" s="14"/>
      <c r="I819" s="14"/>
    </row>
    <row r="820" spans="1:9" ht="20" customHeight="1">
      <c r="A820" s="20">
        <v>14</v>
      </c>
      <c r="B820" s="19" t="s">
        <v>47</v>
      </c>
      <c r="C820" s="18">
        <v>15</v>
      </c>
      <c r="D820" s="21">
        <f t="shared" si="106"/>
        <v>10.48951048951049</v>
      </c>
      <c r="E820" s="22">
        <f>+VLOOKUP($B820,'Master Data'!$B$22:$W$110,21,FALSE)*$D820</f>
        <v>0.33566433566433568</v>
      </c>
      <c r="F820" s="14"/>
      <c r="G820" s="14"/>
      <c r="H820" s="14"/>
      <c r="I820" s="14"/>
    </row>
    <row r="821" spans="1:9" ht="20" customHeight="1">
      <c r="A821" s="20">
        <v>15</v>
      </c>
      <c r="B821" s="19" t="s">
        <v>187</v>
      </c>
      <c r="C821" s="18">
        <v>15</v>
      </c>
      <c r="D821" s="21">
        <f t="shared" si="106"/>
        <v>10.48951048951049</v>
      </c>
      <c r="E821" s="22">
        <f>+VLOOKUP($B821,'Master Data'!$B$22:$W$110,21,FALSE)*$D821</f>
        <v>2.2762237762237763</v>
      </c>
      <c r="F821" s="14"/>
      <c r="G821" s="14"/>
      <c r="H821" s="14"/>
      <c r="I821" s="14"/>
    </row>
    <row r="822" spans="1:9" ht="20" customHeight="1">
      <c r="A822" s="20">
        <v>16</v>
      </c>
      <c r="B822" s="19" t="s">
        <v>66</v>
      </c>
      <c r="C822" s="18">
        <v>330</v>
      </c>
      <c r="D822" s="21">
        <f t="shared" si="106"/>
        <v>230.76923076923077</v>
      </c>
      <c r="E822" s="22">
        <f>+VLOOKUP($B822,'Master Data'!$B$22:$W$110,21,FALSE)*$D822</f>
        <v>32.307692307692314</v>
      </c>
      <c r="F822" s="14"/>
      <c r="G822" s="14"/>
      <c r="H822" s="14"/>
      <c r="I822" s="14"/>
    </row>
    <row r="823" spans="1:9" ht="20" customHeight="1">
      <c r="A823" s="20">
        <v>17</v>
      </c>
      <c r="B823" s="19" t="s">
        <v>58</v>
      </c>
      <c r="C823" s="18">
        <v>110</v>
      </c>
      <c r="D823" s="21">
        <f t="shared" si="106"/>
        <v>76.92307692307692</v>
      </c>
      <c r="E823" s="22">
        <f>+VLOOKUP($B823,'Master Data'!$B$22:$W$110,21,FALSE)*$D823</f>
        <v>3.9999999999999996</v>
      </c>
      <c r="F823" s="14"/>
      <c r="G823" s="14"/>
      <c r="H823" s="14"/>
      <c r="I823" s="14"/>
    </row>
    <row r="824" spans="1:9" ht="20" customHeight="1">
      <c r="A824" s="20"/>
      <c r="B824" s="24" t="s">
        <v>72</v>
      </c>
      <c r="C824" s="18">
        <f>SUM(C807:C823)</f>
        <v>1430</v>
      </c>
      <c r="D824" s="21">
        <f>SUM(D807:D823)</f>
        <v>1000</v>
      </c>
      <c r="E824" s="22">
        <f>SUM(E807:E823)</f>
        <v>113.80909090909091</v>
      </c>
      <c r="F824" s="14"/>
      <c r="G824" s="14"/>
      <c r="H824" s="14"/>
      <c r="I824" s="14"/>
    </row>
    <row r="825" spans="1:9" ht="20" customHeight="1">
      <c r="A825" s="37"/>
      <c r="B825" s="35" t="s">
        <v>451</v>
      </c>
      <c r="C825" s="37"/>
      <c r="D825" s="38"/>
      <c r="E825" s="25">
        <f>E824*($K$555/100)</f>
        <v>11.380909090909093</v>
      </c>
      <c r="F825" s="14"/>
      <c r="G825" s="14"/>
      <c r="H825" s="14"/>
      <c r="I825" s="14"/>
    </row>
    <row r="826" spans="1:9" ht="20" customHeight="1">
      <c r="A826" s="18"/>
      <c r="B826" s="24" t="s">
        <v>74</v>
      </c>
      <c r="C826" s="17"/>
      <c r="D826" s="25"/>
      <c r="E826" s="25">
        <f>E824+E825</f>
        <v>125.19</v>
      </c>
      <c r="F826" s="14"/>
      <c r="G826" s="14"/>
      <c r="H826" s="14"/>
      <c r="I826" s="14"/>
    </row>
    <row r="827" spans="1:9" ht="20" customHeight="1">
      <c r="A827" s="20"/>
      <c r="B827" s="27" t="s">
        <v>61</v>
      </c>
      <c r="C827" s="18"/>
      <c r="D827" s="18"/>
      <c r="E827" s="29">
        <f>E826/10</f>
        <v>12.519</v>
      </c>
      <c r="F827" s="14"/>
      <c r="G827" s="14"/>
      <c r="H827" s="14"/>
      <c r="I827" s="14"/>
    </row>
    <row r="828" spans="1:9" ht="20" customHeight="1">
      <c r="A828" s="16"/>
      <c r="B828" s="14"/>
      <c r="C828" s="36"/>
      <c r="D828" s="32"/>
      <c r="E828" s="36"/>
      <c r="F828" s="14"/>
      <c r="G828" s="14"/>
      <c r="H828" s="14"/>
      <c r="I828" s="14"/>
    </row>
    <row r="829" spans="1:9" ht="20" customHeight="1">
      <c r="A829" s="16"/>
      <c r="B829" s="14"/>
      <c r="C829" s="16"/>
      <c r="D829" s="16"/>
      <c r="E829" s="36"/>
      <c r="F829" s="14"/>
      <c r="G829" s="14"/>
      <c r="H829" s="14"/>
      <c r="I829" s="14"/>
    </row>
    <row r="830" spans="1:9" ht="20" customHeight="1">
      <c r="A830" s="381" t="s">
        <v>7</v>
      </c>
      <c r="B830" s="381"/>
      <c r="C830" s="381"/>
      <c r="D830" s="381"/>
      <c r="E830" s="381"/>
      <c r="F830" s="14"/>
      <c r="G830" s="14"/>
      <c r="H830" s="14"/>
      <c r="I830" s="14"/>
    </row>
    <row r="831" spans="1:9" ht="20" customHeight="1">
      <c r="A831" s="15" t="s">
        <v>27</v>
      </c>
      <c r="B831" s="40" t="s">
        <v>28</v>
      </c>
      <c r="C831" s="15" t="s">
        <v>29</v>
      </c>
      <c r="D831" s="15" t="s">
        <v>29</v>
      </c>
      <c r="E831" s="15" t="s">
        <v>31</v>
      </c>
      <c r="F831" s="14"/>
      <c r="G831" s="14"/>
      <c r="H831" s="14"/>
      <c r="I831" s="14"/>
    </row>
    <row r="832" spans="1:9" ht="20" customHeight="1">
      <c r="A832" s="41"/>
      <c r="B832" s="42"/>
      <c r="C832" s="42" t="s">
        <v>32</v>
      </c>
      <c r="D832" s="42" t="s">
        <v>33</v>
      </c>
      <c r="E832" s="42"/>
      <c r="F832" s="14"/>
      <c r="G832" s="14"/>
      <c r="H832" s="14"/>
      <c r="I832" s="14"/>
    </row>
    <row r="833" spans="1:9" ht="20" customHeight="1">
      <c r="A833" s="20">
        <v>1</v>
      </c>
      <c r="B833" s="19" t="s">
        <v>544</v>
      </c>
      <c r="C833" s="18">
        <v>450</v>
      </c>
      <c r="D833" s="21">
        <f t="shared" ref="D833:D842" si="107">C833*1000/$C$843</f>
        <v>218.44660194174756</v>
      </c>
      <c r="E833" s="22">
        <f>+VLOOKUP($B833,'Master Data'!$B$22:$W$110,21,FALSE)*$D833</f>
        <v>686.14077669902906</v>
      </c>
      <c r="F833" s="14"/>
      <c r="G833" s="14"/>
      <c r="H833" s="14"/>
      <c r="I833" s="14"/>
    </row>
    <row r="834" spans="1:9" ht="20" customHeight="1">
      <c r="A834" s="18">
        <v>2</v>
      </c>
      <c r="B834" s="19" t="s">
        <v>68</v>
      </c>
      <c r="C834" s="18">
        <v>300</v>
      </c>
      <c r="D834" s="21">
        <f t="shared" si="107"/>
        <v>145.63106796116506</v>
      </c>
      <c r="E834" s="22">
        <f>+VLOOKUP($B834,'Master Data'!$B$22:$W$110,21,FALSE)*$D834</f>
        <v>66.116504854368941</v>
      </c>
      <c r="F834" s="14"/>
      <c r="G834" s="14"/>
      <c r="H834" s="14"/>
      <c r="I834" s="14"/>
    </row>
    <row r="835" spans="1:9" ht="20" customHeight="1">
      <c r="A835" s="20">
        <v>3</v>
      </c>
      <c r="B835" s="19" t="s">
        <v>0</v>
      </c>
      <c r="C835" s="18">
        <v>200</v>
      </c>
      <c r="D835" s="21">
        <f t="shared" si="107"/>
        <v>97.087378640776706</v>
      </c>
      <c r="E835" s="22">
        <f>+VLOOKUP($B835,'Master Data'!$B$22:$W$110,21,FALSE)*$D835</f>
        <v>85.533980582524279</v>
      </c>
      <c r="F835" s="14"/>
      <c r="G835" s="14"/>
      <c r="H835" s="14"/>
      <c r="I835" s="14"/>
    </row>
    <row r="836" spans="1:9" ht="20" customHeight="1">
      <c r="A836" s="20">
        <v>4</v>
      </c>
      <c r="B836" s="19" t="s">
        <v>308</v>
      </c>
      <c r="C836" s="18">
        <v>200</v>
      </c>
      <c r="D836" s="21">
        <f t="shared" si="107"/>
        <v>97.087378640776706</v>
      </c>
      <c r="E836" s="22">
        <f>+VLOOKUP($B836,'Master Data'!$B$22:$W$110,21,FALSE)*$D836</f>
        <v>41.708737864077676</v>
      </c>
      <c r="F836" s="14"/>
      <c r="G836" s="14"/>
      <c r="H836" s="14"/>
      <c r="I836" s="14"/>
    </row>
    <row r="837" spans="1:9" ht="20" customHeight="1">
      <c r="A837" s="18">
        <v>5</v>
      </c>
      <c r="B837" s="19" t="s">
        <v>15</v>
      </c>
      <c r="C837" s="18">
        <v>50</v>
      </c>
      <c r="D837" s="21">
        <f t="shared" si="107"/>
        <v>24.271844660194176</v>
      </c>
      <c r="E837" s="22">
        <f>+VLOOKUP($B837,'Master Data'!$B$22:$W$110,21,FALSE)*$D837</f>
        <v>47.538834951456309</v>
      </c>
      <c r="F837" s="14"/>
      <c r="G837" s="14"/>
      <c r="H837" s="14"/>
      <c r="I837" s="14"/>
    </row>
    <row r="838" spans="1:9" ht="20" customHeight="1">
      <c r="A838" s="20">
        <v>6</v>
      </c>
      <c r="B838" s="19" t="s">
        <v>1</v>
      </c>
      <c r="C838" s="18">
        <v>150</v>
      </c>
      <c r="D838" s="21">
        <f t="shared" si="107"/>
        <v>72.815533980582529</v>
      </c>
      <c r="E838" s="22">
        <f>+VLOOKUP($B838,'Master Data'!$B$22:$W$110,21,FALSE)*$D838</f>
        <v>86.723300970873794</v>
      </c>
      <c r="F838" s="14"/>
      <c r="G838" s="14"/>
      <c r="H838" s="14"/>
      <c r="I838" s="14"/>
    </row>
    <row r="839" spans="1:9" ht="20" customHeight="1">
      <c r="A839" s="20">
        <v>7</v>
      </c>
      <c r="B839" s="235" t="s">
        <v>435</v>
      </c>
      <c r="C839" s="18">
        <v>200</v>
      </c>
      <c r="D839" s="21">
        <f t="shared" si="107"/>
        <v>97.087378640776706</v>
      </c>
      <c r="E839" s="22">
        <f>+VLOOKUP($B839,'Master Data'!$B$22:$W$110,21,FALSE)*$D839</f>
        <v>33.398058252427184</v>
      </c>
      <c r="F839" s="14"/>
      <c r="G839" s="14"/>
      <c r="H839" s="14"/>
      <c r="I839" s="14"/>
    </row>
    <row r="840" spans="1:9" ht="20" customHeight="1">
      <c r="A840" s="18">
        <v>8</v>
      </c>
      <c r="B840" s="19" t="s">
        <v>59</v>
      </c>
      <c r="C840" s="18">
        <v>160</v>
      </c>
      <c r="D840" s="21">
        <f t="shared" si="107"/>
        <v>77.669902912621353</v>
      </c>
      <c r="E840" s="22">
        <f>+VLOOKUP($B840,'Master Data'!$B$22:$W$110,21,FALSE)*$D840</f>
        <v>50.796116504854368</v>
      </c>
      <c r="F840" s="14"/>
      <c r="G840" s="14"/>
      <c r="H840" s="14"/>
      <c r="I840" s="14"/>
    </row>
    <row r="841" spans="1:9" ht="20" customHeight="1">
      <c r="A841" s="20">
        <v>9</v>
      </c>
      <c r="B841" s="19" t="s">
        <v>12</v>
      </c>
      <c r="C841" s="18">
        <v>50</v>
      </c>
      <c r="D841" s="21">
        <f t="shared" si="107"/>
        <v>24.271844660194176</v>
      </c>
      <c r="E841" s="22">
        <f>+VLOOKUP($B841,'Master Data'!$B$22:$W$110,21,FALSE)*$D841</f>
        <v>22.839805825242717</v>
      </c>
      <c r="F841" s="14"/>
      <c r="G841" s="14"/>
      <c r="H841" s="14"/>
      <c r="I841" s="14"/>
    </row>
    <row r="842" spans="1:9" ht="20" customHeight="1">
      <c r="A842" s="20">
        <v>10</v>
      </c>
      <c r="B842" s="19" t="s">
        <v>60</v>
      </c>
      <c r="C842" s="18">
        <v>300</v>
      </c>
      <c r="D842" s="21">
        <f t="shared" si="107"/>
        <v>145.63106796116506</v>
      </c>
      <c r="E842" s="22">
        <f>+VLOOKUP($B842,'Master Data'!$B$22:$W$110,21,FALSE)*$D842</f>
        <v>50.097087378640779</v>
      </c>
      <c r="F842" s="14"/>
      <c r="G842" s="14"/>
      <c r="H842" s="14"/>
      <c r="I842" s="14"/>
    </row>
    <row r="843" spans="1:9" ht="20" customHeight="1">
      <c r="A843" s="20"/>
      <c r="B843" s="43" t="s">
        <v>72</v>
      </c>
      <c r="C843" s="44">
        <f>SUM(C833:C842)</f>
        <v>2060</v>
      </c>
      <c r="D843" s="21">
        <f>SUM(D833:D842)</f>
        <v>1000.0000000000001</v>
      </c>
      <c r="E843" s="22">
        <f>SUM(E833:E842)</f>
        <v>1170.8932038834951</v>
      </c>
      <c r="F843" s="14"/>
      <c r="G843" s="14"/>
      <c r="H843" s="14"/>
      <c r="I843" s="14"/>
    </row>
    <row r="844" spans="1:9" ht="20" customHeight="1">
      <c r="A844" s="37"/>
      <c r="B844" s="35" t="s">
        <v>451</v>
      </c>
      <c r="C844" s="45"/>
      <c r="D844" s="46"/>
      <c r="E844" s="22">
        <f>E843*($K$555/100)</f>
        <v>117.08932038834951</v>
      </c>
      <c r="F844" s="14"/>
      <c r="G844" s="14"/>
      <c r="H844" s="14"/>
      <c r="I844" s="14"/>
    </row>
    <row r="845" spans="1:9" ht="20" customHeight="1">
      <c r="A845" s="18"/>
      <c r="B845" s="24" t="s">
        <v>74</v>
      </c>
      <c r="C845" s="17"/>
      <c r="D845" s="25"/>
      <c r="E845" s="22">
        <f>E843+E844</f>
        <v>1287.9825242718446</v>
      </c>
      <c r="F845" s="14"/>
      <c r="G845" s="14"/>
      <c r="H845" s="14"/>
      <c r="I845" s="14"/>
    </row>
    <row r="846" spans="1:9" ht="20" customHeight="1">
      <c r="A846" s="20"/>
      <c r="B846" s="27" t="s">
        <v>61</v>
      </c>
      <c r="C846" s="18"/>
      <c r="D846" s="18"/>
      <c r="E846" s="29">
        <f>E845/10</f>
        <v>128.79825242718445</v>
      </c>
      <c r="F846" s="14"/>
      <c r="G846" s="14"/>
      <c r="H846" s="14"/>
      <c r="I846" s="14"/>
    </row>
    <row r="847" spans="1:9" ht="20" customHeight="1">
      <c r="A847" s="16"/>
      <c r="B847" s="14"/>
      <c r="C847" s="16"/>
      <c r="D847" s="16"/>
      <c r="E847" s="36"/>
      <c r="F847" s="14"/>
      <c r="G847" s="14"/>
      <c r="H847" s="14"/>
      <c r="I847" s="14"/>
    </row>
    <row r="848" spans="1:9" ht="20" customHeight="1">
      <c r="A848" s="16"/>
      <c r="B848" s="14"/>
      <c r="C848" s="16"/>
      <c r="D848" s="16"/>
      <c r="E848" s="36"/>
      <c r="F848" s="14"/>
      <c r="G848" s="14"/>
      <c r="H848" s="14"/>
      <c r="I848" s="14"/>
    </row>
    <row r="849" spans="1:9" ht="20" customHeight="1">
      <c r="A849" s="384" t="s">
        <v>6</v>
      </c>
      <c r="B849" s="384"/>
      <c r="C849" s="384"/>
      <c r="D849" s="384"/>
      <c r="E849" s="384"/>
      <c r="F849" s="14"/>
      <c r="G849" s="14"/>
      <c r="H849" s="14"/>
      <c r="I849" s="14"/>
    </row>
    <row r="850" spans="1:9" ht="20" customHeight="1">
      <c r="A850" s="8" t="s">
        <v>27</v>
      </c>
      <c r="B850" s="8" t="s">
        <v>28</v>
      </c>
      <c r="C850" s="8" t="s">
        <v>29</v>
      </c>
      <c r="D850" s="8" t="s">
        <v>29</v>
      </c>
      <c r="E850" s="15" t="s">
        <v>31</v>
      </c>
      <c r="F850" s="14"/>
      <c r="G850" s="14"/>
      <c r="H850" s="14"/>
      <c r="I850" s="14"/>
    </row>
    <row r="851" spans="1:9" ht="20" customHeight="1">
      <c r="A851" s="10"/>
      <c r="B851" s="10"/>
      <c r="C851" s="10" t="s">
        <v>32</v>
      </c>
      <c r="D851" s="10" t="s">
        <v>33</v>
      </c>
      <c r="E851" s="17"/>
      <c r="F851" s="14"/>
      <c r="G851" s="14"/>
      <c r="H851" s="14"/>
      <c r="I851" s="14"/>
    </row>
    <row r="852" spans="1:9" ht="20" customHeight="1">
      <c r="A852" s="3">
        <v>1</v>
      </c>
      <c r="B852" s="19" t="s">
        <v>19</v>
      </c>
      <c r="C852" s="2">
        <v>2</v>
      </c>
      <c r="D852" s="5">
        <f t="shared" ref="D852:D867" si="108">C852*1000/$C$868</f>
        <v>8.8495575221238933</v>
      </c>
      <c r="E852" s="22">
        <f>+VLOOKUP($B852,'Master Data'!$B$22:$W$110,21,FALSE)*$D852</f>
        <v>4.7610619469026547</v>
      </c>
      <c r="F852" s="14"/>
      <c r="G852" s="14"/>
      <c r="H852" s="14"/>
      <c r="I852" s="14"/>
    </row>
    <row r="853" spans="1:9" ht="20" customHeight="1">
      <c r="A853" s="3">
        <v>2</v>
      </c>
      <c r="B853" s="19" t="s">
        <v>158</v>
      </c>
      <c r="C853" s="2">
        <v>5</v>
      </c>
      <c r="D853" s="5">
        <f t="shared" si="108"/>
        <v>22.123893805309734</v>
      </c>
      <c r="E853" s="22">
        <f>+VLOOKUP($B853,'Master Data'!$B$22:$W$110,21,FALSE)*$D853</f>
        <v>3.8407079646017701</v>
      </c>
      <c r="F853" s="14"/>
      <c r="G853" s="14"/>
      <c r="H853" s="14"/>
      <c r="I853" s="14"/>
    </row>
    <row r="854" spans="1:9" ht="20" customHeight="1">
      <c r="A854" s="3">
        <v>3</v>
      </c>
      <c r="B854" s="19" t="s">
        <v>15</v>
      </c>
      <c r="C854" s="2">
        <v>15</v>
      </c>
      <c r="D854" s="5">
        <f t="shared" si="108"/>
        <v>66.371681415929203</v>
      </c>
      <c r="E854" s="22">
        <f>+VLOOKUP($B854,'Master Data'!$B$22:$W$110,21,FALSE)*$D854</f>
        <v>129.99557522123894</v>
      </c>
      <c r="F854" s="14"/>
      <c r="G854" s="14"/>
      <c r="H854" s="14"/>
      <c r="I854" s="14"/>
    </row>
    <row r="855" spans="1:9" ht="20" customHeight="1">
      <c r="A855" s="3">
        <v>4</v>
      </c>
      <c r="B855" s="19" t="s">
        <v>0</v>
      </c>
      <c r="C855" s="2">
        <v>10</v>
      </c>
      <c r="D855" s="5">
        <f t="shared" si="108"/>
        <v>44.247787610619469</v>
      </c>
      <c r="E855" s="22">
        <f>+VLOOKUP($B855,'Master Data'!$B$22:$W$110,21,FALSE)*$D855</f>
        <v>38.982300884955755</v>
      </c>
      <c r="F855" s="14"/>
      <c r="G855" s="14"/>
      <c r="H855" s="14"/>
      <c r="I855" s="14"/>
    </row>
    <row r="856" spans="1:9" ht="20" customHeight="1">
      <c r="A856" s="3">
        <v>5</v>
      </c>
      <c r="B856" s="19" t="s">
        <v>181</v>
      </c>
      <c r="C856" s="2">
        <v>55</v>
      </c>
      <c r="D856" s="5">
        <f t="shared" si="108"/>
        <v>243.36283185840708</v>
      </c>
      <c r="E856" s="22">
        <f>+VLOOKUP($B856,'Master Data'!$B$22:$W$110,21,FALSE)*$D856</f>
        <v>69.601769911504419</v>
      </c>
      <c r="F856" s="14"/>
      <c r="G856" s="14"/>
      <c r="H856" s="14"/>
      <c r="I856" s="14"/>
    </row>
    <row r="857" spans="1:9" ht="20" customHeight="1">
      <c r="A857" s="3">
        <v>6</v>
      </c>
      <c r="B857" s="19" t="s">
        <v>308</v>
      </c>
      <c r="C857" s="2">
        <v>8</v>
      </c>
      <c r="D857" s="5">
        <f t="shared" si="108"/>
        <v>35.398230088495573</v>
      </c>
      <c r="E857" s="22">
        <f>+VLOOKUP($B857,'Master Data'!$B$22:$W$110,21,FALSE)*$D857</f>
        <v>15.2070796460177</v>
      </c>
      <c r="F857" s="14"/>
      <c r="G857" s="14"/>
      <c r="H857" s="14"/>
      <c r="I857" s="14"/>
    </row>
    <row r="858" spans="1:9" ht="20" customHeight="1">
      <c r="A858" s="3">
        <v>7</v>
      </c>
      <c r="B858" s="19" t="s">
        <v>1</v>
      </c>
      <c r="C858" s="2">
        <v>5</v>
      </c>
      <c r="D858" s="5">
        <f t="shared" si="108"/>
        <v>22.123893805309734</v>
      </c>
      <c r="E858" s="22">
        <f>+VLOOKUP($B858,'Master Data'!$B$22:$W$110,21,FALSE)*$D858</f>
        <v>26.349557522123895</v>
      </c>
      <c r="F858" s="14"/>
      <c r="G858" s="14"/>
      <c r="H858" s="14"/>
      <c r="I858" s="14"/>
    </row>
    <row r="859" spans="1:9" ht="20" customHeight="1">
      <c r="A859" s="3">
        <v>8</v>
      </c>
      <c r="B859" s="19" t="s">
        <v>2</v>
      </c>
      <c r="C859" s="2">
        <v>55</v>
      </c>
      <c r="D859" s="5">
        <f t="shared" si="108"/>
        <v>243.36283185840708</v>
      </c>
      <c r="E859" s="22">
        <f>+VLOOKUP($B859,'Master Data'!$B$22:$W$110,21,FALSE)*$D859</f>
        <v>46.725663716814161</v>
      </c>
      <c r="F859" s="14"/>
      <c r="G859" s="14"/>
      <c r="H859" s="14"/>
      <c r="I859" s="14"/>
    </row>
    <row r="860" spans="1:9" ht="20" customHeight="1">
      <c r="A860" s="3">
        <v>9</v>
      </c>
      <c r="B860" s="19" t="s">
        <v>3</v>
      </c>
      <c r="C860" s="2">
        <v>20</v>
      </c>
      <c r="D860" s="5">
        <f t="shared" si="108"/>
        <v>88.495575221238937</v>
      </c>
      <c r="E860" s="22">
        <f>+VLOOKUP($B860,'Master Data'!$B$22:$W$110,21,FALSE)*$D860</f>
        <v>26.902654867256636</v>
      </c>
      <c r="F860" s="14"/>
      <c r="G860" s="14"/>
      <c r="H860" s="14"/>
      <c r="I860" s="14"/>
    </row>
    <row r="861" spans="1:9" ht="20" customHeight="1">
      <c r="A861" s="3">
        <v>10</v>
      </c>
      <c r="B861" s="19" t="s">
        <v>68</v>
      </c>
      <c r="C861" s="2">
        <v>5</v>
      </c>
      <c r="D861" s="5">
        <f t="shared" si="108"/>
        <v>22.123893805309734</v>
      </c>
      <c r="E861" s="22">
        <f>+VLOOKUP($B861,'Master Data'!$B$22:$W$110,21,FALSE)*$D861</f>
        <v>10.044247787610619</v>
      </c>
      <c r="F861" s="14"/>
      <c r="G861" s="14"/>
      <c r="H861" s="14"/>
      <c r="I861" s="14"/>
    </row>
    <row r="862" spans="1:9" ht="20" customHeight="1">
      <c r="A862" s="3">
        <v>11</v>
      </c>
      <c r="B862" s="19" t="s">
        <v>87</v>
      </c>
      <c r="C862" s="2">
        <v>15</v>
      </c>
      <c r="D862" s="5">
        <f t="shared" si="108"/>
        <v>66.371681415929203</v>
      </c>
      <c r="E862" s="22">
        <f>+VLOOKUP($B862,'Master Data'!$B$22:$W$110,21,FALSE)*$D862</f>
        <v>11.681415929203538</v>
      </c>
      <c r="F862" s="14"/>
      <c r="G862" s="14"/>
      <c r="H862" s="14"/>
      <c r="I862" s="14"/>
    </row>
    <row r="863" spans="1:9" ht="20" customHeight="1">
      <c r="A863" s="3">
        <v>12</v>
      </c>
      <c r="B863" s="235" t="s">
        <v>435</v>
      </c>
      <c r="C863" s="2">
        <v>15</v>
      </c>
      <c r="D863" s="5">
        <f t="shared" si="108"/>
        <v>66.371681415929203</v>
      </c>
      <c r="E863" s="22">
        <f>+VLOOKUP($B863,'Master Data'!$B$22:$W$110,21,FALSE)*$D863</f>
        <v>22.831858407079643</v>
      </c>
      <c r="F863" s="14"/>
      <c r="G863" s="14"/>
      <c r="H863" s="14"/>
      <c r="I863" s="14"/>
    </row>
    <row r="864" spans="1:9" ht="20" customHeight="1">
      <c r="A864" s="3">
        <v>13</v>
      </c>
      <c r="B864" s="19" t="s">
        <v>544</v>
      </c>
      <c r="C864" s="2">
        <v>1</v>
      </c>
      <c r="D864" s="5">
        <f t="shared" si="108"/>
        <v>4.4247787610619467</v>
      </c>
      <c r="E864" s="22">
        <f>+VLOOKUP($B864,'Master Data'!$B$22:$W$110,21,FALSE)*$D864</f>
        <v>13.898230088495575</v>
      </c>
      <c r="F864" s="14"/>
      <c r="G864" s="14"/>
      <c r="H864" s="14"/>
      <c r="I864" s="14"/>
    </row>
    <row r="865" spans="1:9" ht="20" customHeight="1">
      <c r="A865" s="3">
        <v>14</v>
      </c>
      <c r="B865" s="19" t="s">
        <v>47</v>
      </c>
      <c r="C865" s="2">
        <v>5</v>
      </c>
      <c r="D865" s="5">
        <f t="shared" si="108"/>
        <v>22.123893805309734</v>
      </c>
      <c r="E865" s="22">
        <f>+VLOOKUP($B865,'Master Data'!$B$22:$W$110,21,FALSE)*$D865</f>
        <v>0.70796460176991149</v>
      </c>
      <c r="F865" s="14"/>
      <c r="G865" s="14"/>
      <c r="H865" s="14"/>
      <c r="I865" s="14"/>
    </row>
    <row r="866" spans="1:9" ht="20" customHeight="1">
      <c r="A866" s="3">
        <v>15</v>
      </c>
      <c r="B866" s="19" t="s">
        <v>13</v>
      </c>
      <c r="C866" s="2">
        <v>5</v>
      </c>
      <c r="D866" s="5">
        <f t="shared" si="108"/>
        <v>22.123893805309734</v>
      </c>
      <c r="E866" s="22">
        <f>+VLOOKUP($B866,'Master Data'!$B$22:$W$110,21,FALSE)*$D866</f>
        <v>11.495575221238939</v>
      </c>
      <c r="F866" s="14"/>
      <c r="G866" s="14"/>
      <c r="H866" s="14"/>
      <c r="I866" s="14"/>
    </row>
    <row r="867" spans="1:9" ht="20" customHeight="1">
      <c r="A867" s="3">
        <v>16</v>
      </c>
      <c r="B867" s="19" t="s">
        <v>187</v>
      </c>
      <c r="C867" s="2">
        <v>5</v>
      </c>
      <c r="D867" s="5">
        <f t="shared" si="108"/>
        <v>22.123893805309734</v>
      </c>
      <c r="E867" s="22">
        <f>+VLOOKUP($B867,'Master Data'!$B$22:$W$110,21,FALSE)*$D867</f>
        <v>4.8008849557522124</v>
      </c>
      <c r="F867" s="14"/>
      <c r="G867" s="14"/>
      <c r="H867" s="14"/>
      <c r="I867" s="14"/>
    </row>
    <row r="868" spans="1:9" ht="20" customHeight="1">
      <c r="A868" s="10"/>
      <c r="B868" s="43" t="s">
        <v>72</v>
      </c>
      <c r="C868" s="44">
        <f>SUM(C852:C867)</f>
        <v>226</v>
      </c>
      <c r="D868" s="21">
        <f>SUM(D852:D867)</f>
        <v>1000</v>
      </c>
      <c r="E868" s="22">
        <f>SUM(E852:E867)</f>
        <v>437.82654867256633</v>
      </c>
      <c r="F868" s="14"/>
      <c r="G868" s="14"/>
      <c r="H868" s="14"/>
      <c r="I868" s="14"/>
    </row>
    <row r="869" spans="1:9" ht="20" customHeight="1">
      <c r="A869" s="10"/>
      <c r="B869" s="35" t="s">
        <v>451</v>
      </c>
      <c r="C869" s="45"/>
      <c r="D869" s="46"/>
      <c r="E869" s="22">
        <f>E868*($K$555/100)</f>
        <v>43.782654867256639</v>
      </c>
      <c r="F869" s="14"/>
      <c r="G869" s="14"/>
      <c r="H869" s="14"/>
      <c r="I869" s="14"/>
    </row>
    <row r="870" spans="1:9" ht="20" customHeight="1">
      <c r="A870" s="10"/>
      <c r="B870" s="47" t="s">
        <v>74</v>
      </c>
      <c r="C870" s="17"/>
      <c r="D870" s="25"/>
      <c r="E870" s="22">
        <f>E868+E869</f>
        <v>481.60920353982294</v>
      </c>
      <c r="F870" s="14"/>
      <c r="G870" s="14"/>
      <c r="H870" s="14"/>
      <c r="I870" s="14"/>
    </row>
    <row r="871" spans="1:9" ht="20" customHeight="1">
      <c r="A871" s="10"/>
      <c r="B871" s="48" t="s">
        <v>61</v>
      </c>
      <c r="C871" s="18"/>
      <c r="D871" s="18"/>
      <c r="E871" s="29">
        <f>E870/10</f>
        <v>48.160920353982291</v>
      </c>
      <c r="F871" s="14"/>
      <c r="G871" s="14"/>
      <c r="H871" s="14"/>
      <c r="I871" s="14"/>
    </row>
    <row r="872" spans="1:9" ht="20" customHeight="1">
      <c r="A872" s="49"/>
      <c r="B872" s="11"/>
      <c r="C872" s="9"/>
      <c r="D872" s="7"/>
      <c r="E872" s="36"/>
      <c r="F872" s="14"/>
      <c r="G872" s="14"/>
      <c r="H872" s="14"/>
      <c r="I872" s="14"/>
    </row>
    <row r="873" spans="1:9" ht="20" customHeight="1">
      <c r="A873" s="1"/>
      <c r="B873" s="4"/>
      <c r="C873" s="1"/>
      <c r="D873" s="1"/>
      <c r="E873" s="36"/>
      <c r="F873" s="14"/>
      <c r="G873" s="14"/>
      <c r="H873" s="14"/>
      <c r="I873" s="14"/>
    </row>
    <row r="874" spans="1:9" ht="20" customHeight="1">
      <c r="A874" s="384" t="s">
        <v>75</v>
      </c>
      <c r="B874" s="384"/>
      <c r="C874" s="384"/>
      <c r="D874" s="384"/>
      <c r="E874" s="384"/>
      <c r="F874" s="14"/>
      <c r="G874" s="14"/>
      <c r="H874" s="14"/>
      <c r="I874" s="14"/>
    </row>
    <row r="875" spans="1:9" ht="20" customHeight="1">
      <c r="A875" s="10" t="s">
        <v>27</v>
      </c>
      <c r="B875" s="10" t="s">
        <v>28</v>
      </c>
      <c r="C875" s="10" t="s">
        <v>29</v>
      </c>
      <c r="D875" s="10" t="s">
        <v>29</v>
      </c>
      <c r="E875" s="15" t="s">
        <v>31</v>
      </c>
      <c r="F875" s="14"/>
      <c r="G875" s="14"/>
      <c r="H875" s="14"/>
      <c r="I875" s="14"/>
    </row>
    <row r="876" spans="1:9" ht="20" customHeight="1">
      <c r="A876" s="10"/>
      <c r="B876" s="10"/>
      <c r="C876" s="10" t="s">
        <v>32</v>
      </c>
      <c r="D876" s="10" t="s">
        <v>33</v>
      </c>
      <c r="E876" s="17"/>
      <c r="F876" s="14"/>
      <c r="G876" s="14"/>
      <c r="H876" s="14"/>
      <c r="I876" s="14"/>
    </row>
    <row r="877" spans="1:9" ht="20" customHeight="1">
      <c r="A877" s="3">
        <v>1</v>
      </c>
      <c r="B877" s="19" t="s">
        <v>19</v>
      </c>
      <c r="C877" s="5">
        <v>20</v>
      </c>
      <c r="D877" s="5">
        <f t="shared" ref="D877:D893" si="109">C877*1000/$C$894</f>
        <v>13.333333333333334</v>
      </c>
      <c r="E877" s="22">
        <f>+VLOOKUP($B877,'Master Data'!$B$22:$W$110,21,FALSE)*$D877</f>
        <v>7.1733333333333338</v>
      </c>
      <c r="F877" s="14"/>
      <c r="G877" s="14"/>
      <c r="H877" s="14"/>
      <c r="I877" s="14"/>
    </row>
    <row r="878" spans="1:9" ht="20" customHeight="1">
      <c r="A878" s="3">
        <v>2</v>
      </c>
      <c r="B878" s="19" t="s">
        <v>0</v>
      </c>
      <c r="C878" s="5">
        <v>60</v>
      </c>
      <c r="D878" s="5">
        <f t="shared" si="109"/>
        <v>40</v>
      </c>
      <c r="E878" s="22">
        <f>+VLOOKUP($B878,'Master Data'!$B$22:$W$110,21,FALSE)*$D878</f>
        <v>35.24</v>
      </c>
      <c r="F878" s="14"/>
      <c r="G878" s="14"/>
      <c r="H878" s="14"/>
      <c r="I878" s="14"/>
    </row>
    <row r="879" spans="1:9" ht="20" customHeight="1">
      <c r="A879" s="3">
        <v>3</v>
      </c>
      <c r="B879" s="19" t="s">
        <v>81</v>
      </c>
      <c r="C879" s="5">
        <v>400</v>
      </c>
      <c r="D879" s="5">
        <f t="shared" si="109"/>
        <v>266.66666666666669</v>
      </c>
      <c r="E879" s="22">
        <f>+VLOOKUP($B879,'Master Data'!$B$22:$W$110,21,FALSE)*$D879</f>
        <v>10.666666666666668</v>
      </c>
      <c r="F879" s="14"/>
      <c r="G879" s="14"/>
      <c r="H879" s="14"/>
      <c r="I879" s="14"/>
    </row>
    <row r="880" spans="1:9" ht="20" customHeight="1">
      <c r="A880" s="3">
        <v>4</v>
      </c>
      <c r="B880" s="19" t="s">
        <v>82</v>
      </c>
      <c r="C880" s="5">
        <v>20</v>
      </c>
      <c r="D880" s="5">
        <f t="shared" si="109"/>
        <v>13.333333333333334</v>
      </c>
      <c r="E880" s="22">
        <f>+VLOOKUP($B880,'Master Data'!$B$22:$W$110,21,FALSE)*$D880</f>
        <v>3.3600000000000003</v>
      </c>
      <c r="F880" s="14"/>
      <c r="G880" s="14"/>
      <c r="H880" s="14"/>
      <c r="I880" s="14"/>
    </row>
    <row r="881" spans="1:9" ht="20" customHeight="1">
      <c r="A881" s="3">
        <v>5</v>
      </c>
      <c r="B881" s="19" t="s">
        <v>1</v>
      </c>
      <c r="C881" s="5">
        <v>20</v>
      </c>
      <c r="D881" s="5">
        <f t="shared" si="109"/>
        <v>13.333333333333334</v>
      </c>
      <c r="E881" s="22">
        <f>+VLOOKUP($B881,'Master Data'!$B$22:$W$110,21,FALSE)*$D881</f>
        <v>15.88</v>
      </c>
      <c r="F881" s="14"/>
      <c r="G881" s="14"/>
      <c r="H881" s="14"/>
      <c r="I881" s="14"/>
    </row>
    <row r="882" spans="1:9" ht="20" customHeight="1">
      <c r="A882" s="3">
        <v>6</v>
      </c>
      <c r="B882" s="19" t="s">
        <v>2</v>
      </c>
      <c r="C882" s="5">
        <v>60</v>
      </c>
      <c r="D882" s="5">
        <f t="shared" si="109"/>
        <v>40</v>
      </c>
      <c r="E882" s="22">
        <f>+VLOOKUP($B882,'Master Data'!$B$22:$W$110,21,FALSE)*$D882</f>
        <v>7.68</v>
      </c>
      <c r="F882" s="14"/>
      <c r="G882" s="14"/>
      <c r="H882" s="14"/>
      <c r="I882" s="14"/>
    </row>
    <row r="883" spans="1:9" ht="20" customHeight="1">
      <c r="A883" s="3">
        <v>7</v>
      </c>
      <c r="B883" s="19" t="s">
        <v>3</v>
      </c>
      <c r="C883" s="5">
        <v>60</v>
      </c>
      <c r="D883" s="5">
        <f t="shared" si="109"/>
        <v>40</v>
      </c>
      <c r="E883" s="22">
        <f>+VLOOKUP($B883,'Master Data'!$B$22:$W$110,21,FALSE)*$D883</f>
        <v>12.16</v>
      </c>
      <c r="F883" s="14"/>
      <c r="G883" s="14"/>
      <c r="H883" s="14"/>
      <c r="I883" s="14"/>
    </row>
    <row r="884" spans="1:9" ht="20" customHeight="1">
      <c r="A884" s="3">
        <v>8</v>
      </c>
      <c r="B884" s="19" t="s">
        <v>68</v>
      </c>
      <c r="C884" s="5">
        <v>40</v>
      </c>
      <c r="D884" s="5">
        <f t="shared" si="109"/>
        <v>26.666666666666668</v>
      </c>
      <c r="E884" s="22">
        <f>+VLOOKUP($B884,'Master Data'!$B$22:$W$110,21,FALSE)*$D884</f>
        <v>12.106666666666667</v>
      </c>
      <c r="F884" s="14"/>
      <c r="G884" s="14"/>
      <c r="H884" s="14"/>
      <c r="I884" s="14"/>
    </row>
    <row r="885" spans="1:9" ht="20" customHeight="1">
      <c r="A885" s="3">
        <v>9</v>
      </c>
      <c r="B885" s="19" t="s">
        <v>87</v>
      </c>
      <c r="C885" s="5">
        <v>400</v>
      </c>
      <c r="D885" s="5">
        <f t="shared" si="109"/>
        <v>266.66666666666669</v>
      </c>
      <c r="E885" s="22">
        <f>+VLOOKUP($B885,'Master Data'!$B$22:$W$110,21,FALSE)*$D885</f>
        <v>46.933333333333337</v>
      </c>
      <c r="F885" s="14"/>
      <c r="G885" s="14"/>
      <c r="H885" s="14"/>
      <c r="I885" s="14"/>
    </row>
    <row r="886" spans="1:9" ht="20" customHeight="1">
      <c r="A886" s="3">
        <v>10</v>
      </c>
      <c r="B886" s="19" t="s">
        <v>88</v>
      </c>
      <c r="C886" s="5">
        <v>30</v>
      </c>
      <c r="D886" s="5">
        <f t="shared" si="109"/>
        <v>20</v>
      </c>
      <c r="E886" s="22">
        <f>+VLOOKUP($B886,'Master Data'!$B$22:$W$110,21,FALSE)*$D886</f>
        <v>1.1200000000000001</v>
      </c>
      <c r="F886" s="14"/>
      <c r="G886" s="14"/>
      <c r="H886" s="14"/>
      <c r="I886" s="14"/>
    </row>
    <row r="887" spans="1:9" ht="20" customHeight="1">
      <c r="A887" s="3">
        <v>11</v>
      </c>
      <c r="B887" s="19" t="s">
        <v>89</v>
      </c>
      <c r="C887" s="5">
        <v>100</v>
      </c>
      <c r="D887" s="5">
        <f t="shared" si="109"/>
        <v>66.666666666666671</v>
      </c>
      <c r="E887" s="22">
        <f>+VLOOKUP($B887,'Master Data'!$B$22:$W$110,21,FALSE)*$D887</f>
        <v>30.742857142857144</v>
      </c>
      <c r="F887" s="14"/>
      <c r="G887" s="14"/>
      <c r="H887" s="14"/>
      <c r="I887" s="14"/>
    </row>
    <row r="888" spans="1:9" ht="20" customHeight="1">
      <c r="A888" s="3">
        <v>12</v>
      </c>
      <c r="B888" s="19" t="s">
        <v>90</v>
      </c>
      <c r="C888" s="5">
        <v>60</v>
      </c>
      <c r="D888" s="5">
        <f t="shared" si="109"/>
        <v>40</v>
      </c>
      <c r="E888" s="22">
        <f>+VLOOKUP($B888,'Master Data'!$B$22:$W$110,21,FALSE)*$D888</f>
        <v>15.36</v>
      </c>
      <c r="F888" s="14"/>
      <c r="G888" s="14"/>
      <c r="H888" s="14"/>
      <c r="I888" s="14"/>
    </row>
    <row r="889" spans="1:9" ht="20" customHeight="1">
      <c r="A889" s="3">
        <v>13</v>
      </c>
      <c r="B889" s="19" t="s">
        <v>12</v>
      </c>
      <c r="C889" s="5">
        <v>20</v>
      </c>
      <c r="D889" s="5">
        <f t="shared" si="109"/>
        <v>13.333333333333334</v>
      </c>
      <c r="E889" s="22">
        <f>+VLOOKUP($B889,'Master Data'!$B$22:$W$110,21,FALSE)*$D889</f>
        <v>12.546666666666667</v>
      </c>
      <c r="F889" s="14"/>
      <c r="G889" s="14"/>
      <c r="H889" s="14"/>
      <c r="I889" s="14"/>
    </row>
    <row r="890" spans="1:9" ht="20" customHeight="1">
      <c r="A890" s="3">
        <v>14</v>
      </c>
      <c r="B890" s="19" t="s">
        <v>91</v>
      </c>
      <c r="C890" s="5">
        <v>80</v>
      </c>
      <c r="D890" s="5">
        <f t="shared" si="109"/>
        <v>53.333333333333336</v>
      </c>
      <c r="E890" s="22">
        <f>+VLOOKUP($B890,'Master Data'!$B$22:$W$110,21,FALSE)*$D890</f>
        <v>12.403809523809525</v>
      </c>
      <c r="F890" s="14"/>
      <c r="G890" s="14"/>
      <c r="H890" s="14"/>
      <c r="I890" s="14"/>
    </row>
    <row r="891" spans="1:9" ht="20" customHeight="1">
      <c r="A891" s="3">
        <v>15</v>
      </c>
      <c r="B891" s="19" t="s">
        <v>47</v>
      </c>
      <c r="C891" s="5">
        <v>70</v>
      </c>
      <c r="D891" s="5">
        <f t="shared" si="109"/>
        <v>46.666666666666664</v>
      </c>
      <c r="E891" s="22">
        <f>+VLOOKUP($B891,'Master Data'!$B$22:$W$110,21,FALSE)*$D891</f>
        <v>1.4933333333333332</v>
      </c>
      <c r="F891" s="14"/>
      <c r="G891" s="14"/>
      <c r="H891" s="14"/>
      <c r="I891" s="14"/>
    </row>
    <row r="892" spans="1:9" ht="20" customHeight="1">
      <c r="A892" s="3">
        <v>16</v>
      </c>
      <c r="B892" s="19" t="s">
        <v>71</v>
      </c>
      <c r="C892" s="5">
        <v>40</v>
      </c>
      <c r="D892" s="5">
        <f t="shared" si="109"/>
        <v>26.666666666666668</v>
      </c>
      <c r="E892" s="22">
        <f>+VLOOKUP($B892,'Master Data'!$B$22:$W$110,21,FALSE)*$D892</f>
        <v>12.666666666666666</v>
      </c>
      <c r="F892" s="14"/>
      <c r="G892" s="14"/>
      <c r="H892" s="14"/>
      <c r="I892" s="14"/>
    </row>
    <row r="893" spans="1:9" ht="20" customHeight="1">
      <c r="A893" s="3">
        <v>17</v>
      </c>
      <c r="B893" s="19" t="s">
        <v>185</v>
      </c>
      <c r="C893" s="5">
        <v>20</v>
      </c>
      <c r="D893" s="5">
        <f t="shared" si="109"/>
        <v>13.333333333333334</v>
      </c>
      <c r="E893" s="22">
        <f>+VLOOKUP($B893,'Master Data'!$B$22:$W$110,21,FALSE)*$D893</f>
        <v>8.0133333333333336</v>
      </c>
      <c r="F893" s="14"/>
      <c r="G893" s="14"/>
      <c r="H893" s="14"/>
      <c r="I893" s="14"/>
    </row>
    <row r="894" spans="1:9" ht="20" customHeight="1">
      <c r="A894" s="10"/>
      <c r="B894" s="43" t="s">
        <v>72</v>
      </c>
      <c r="C894" s="50">
        <f>SUM(C877:C893)</f>
        <v>1500</v>
      </c>
      <c r="D894" s="21">
        <f>SUM(D877:D893)</f>
        <v>1000</v>
      </c>
      <c r="E894" s="22">
        <f>SUM(E877:E893)</f>
        <v>245.54666666666665</v>
      </c>
      <c r="F894" s="14"/>
      <c r="G894" s="14"/>
      <c r="H894" s="14"/>
      <c r="I894" s="14"/>
    </row>
    <row r="895" spans="1:9" ht="20" customHeight="1">
      <c r="A895" s="10"/>
      <c r="B895" s="35" t="s">
        <v>451</v>
      </c>
      <c r="C895" s="37"/>
      <c r="D895" s="38"/>
      <c r="E895" s="22">
        <f>E894*($K$555/100)</f>
        <v>24.554666666666666</v>
      </c>
      <c r="F895" s="14"/>
      <c r="G895" s="14"/>
      <c r="H895" s="14"/>
      <c r="I895" s="14"/>
    </row>
    <row r="896" spans="1:9" ht="20" customHeight="1">
      <c r="A896" s="10"/>
      <c r="B896" s="24" t="s">
        <v>74</v>
      </c>
      <c r="C896" s="17"/>
      <c r="D896" s="25"/>
      <c r="E896" s="22">
        <f>E894+E895</f>
        <v>270.10133333333334</v>
      </c>
      <c r="F896" s="14"/>
      <c r="G896" s="14"/>
      <c r="H896" s="14"/>
      <c r="I896" s="14"/>
    </row>
    <row r="897" spans="1:9" ht="20" customHeight="1">
      <c r="A897" s="10"/>
      <c r="B897" s="27" t="s">
        <v>61</v>
      </c>
      <c r="C897" s="18"/>
      <c r="D897" s="18"/>
      <c r="E897" s="29">
        <f>E896/10</f>
        <v>27.010133333333336</v>
      </c>
      <c r="F897" s="14"/>
      <c r="G897" s="14"/>
      <c r="H897" s="14"/>
      <c r="I897" s="14"/>
    </row>
    <row r="898" spans="1:9" ht="20" customHeight="1">
      <c r="A898" s="1"/>
      <c r="B898" s="4"/>
      <c r="C898" s="1"/>
      <c r="D898" s="1"/>
      <c r="E898" s="36"/>
      <c r="F898" s="14"/>
      <c r="G898" s="14"/>
      <c r="H898" s="14"/>
      <c r="I898" s="14"/>
    </row>
    <row r="899" spans="1:9" ht="20" customHeight="1">
      <c r="A899" s="1"/>
      <c r="B899" s="4"/>
      <c r="C899" s="1"/>
      <c r="D899" s="1"/>
      <c r="E899" s="36"/>
      <c r="F899" s="14"/>
      <c r="G899" s="14"/>
      <c r="H899" s="14"/>
      <c r="I899" s="14"/>
    </row>
    <row r="900" spans="1:9" ht="20" customHeight="1">
      <c r="A900" s="376" t="s">
        <v>76</v>
      </c>
      <c r="B900" s="377"/>
      <c r="C900" s="377"/>
      <c r="D900" s="377"/>
      <c r="E900" s="378"/>
      <c r="F900" s="14"/>
      <c r="G900" s="14"/>
      <c r="H900" s="14"/>
      <c r="I900" s="14"/>
    </row>
    <row r="901" spans="1:9" ht="20" customHeight="1">
      <c r="A901" s="10" t="s">
        <v>27</v>
      </c>
      <c r="B901" s="10" t="s">
        <v>28</v>
      </c>
      <c r="C901" s="10" t="s">
        <v>29</v>
      </c>
      <c r="D901" s="10" t="s">
        <v>29</v>
      </c>
      <c r="E901" s="15" t="s">
        <v>31</v>
      </c>
      <c r="F901" s="14"/>
      <c r="G901" s="14"/>
      <c r="H901" s="14"/>
      <c r="I901" s="14"/>
    </row>
    <row r="902" spans="1:9" ht="20" customHeight="1">
      <c r="A902" s="10"/>
      <c r="B902" s="10"/>
      <c r="C902" s="10" t="s">
        <v>32</v>
      </c>
      <c r="D902" s="10" t="s">
        <v>33</v>
      </c>
      <c r="E902" s="17"/>
      <c r="F902" s="14"/>
      <c r="G902" s="14"/>
      <c r="H902" s="14"/>
      <c r="I902" s="14"/>
    </row>
    <row r="903" spans="1:9" ht="20" customHeight="1">
      <c r="A903" s="2">
        <v>1</v>
      </c>
      <c r="B903" s="19" t="s">
        <v>19</v>
      </c>
      <c r="C903" s="2">
        <v>10</v>
      </c>
      <c r="D903" s="5">
        <f t="shared" ref="D903:D925" si="110">C903*1000/$C$926</f>
        <v>12.5</v>
      </c>
      <c r="E903" s="22">
        <f>+VLOOKUP($B903,'Master Data'!$B$22:$W$110,21,FALSE)*$D903</f>
        <v>6.7250000000000005</v>
      </c>
      <c r="F903" s="14"/>
      <c r="G903" s="14"/>
      <c r="H903" s="14"/>
      <c r="I903" s="14"/>
    </row>
    <row r="904" spans="1:9" ht="20" customHeight="1">
      <c r="A904" s="2">
        <v>2</v>
      </c>
      <c r="B904" s="19" t="s">
        <v>158</v>
      </c>
      <c r="C904" s="2">
        <v>20</v>
      </c>
      <c r="D904" s="5">
        <f t="shared" si="110"/>
        <v>25</v>
      </c>
      <c r="E904" s="22">
        <f>+VLOOKUP($B904,'Master Data'!$B$22:$W$110,21,FALSE)*$D904</f>
        <v>4.34</v>
      </c>
      <c r="F904" s="14"/>
      <c r="G904" s="14"/>
      <c r="H904" s="14"/>
      <c r="I904" s="14"/>
    </row>
    <row r="905" spans="1:9" ht="20" customHeight="1">
      <c r="A905" s="2">
        <v>3</v>
      </c>
      <c r="B905" s="19" t="s">
        <v>15</v>
      </c>
      <c r="C905" s="2">
        <v>20</v>
      </c>
      <c r="D905" s="5">
        <f t="shared" si="110"/>
        <v>25</v>
      </c>
      <c r="E905" s="22">
        <f>+VLOOKUP($B905,'Master Data'!$B$22:$W$110,21,FALSE)*$D905</f>
        <v>48.964999999999996</v>
      </c>
      <c r="F905" s="14"/>
      <c r="G905" s="14"/>
      <c r="H905" s="14"/>
      <c r="I905" s="14"/>
    </row>
    <row r="906" spans="1:9" ht="20" customHeight="1">
      <c r="A906" s="2">
        <v>4</v>
      </c>
      <c r="B906" s="19" t="s">
        <v>0</v>
      </c>
      <c r="C906" s="2">
        <v>30</v>
      </c>
      <c r="D906" s="5">
        <f t="shared" si="110"/>
        <v>37.5</v>
      </c>
      <c r="E906" s="22">
        <f>+VLOOKUP($B906,'Master Data'!$B$22:$W$110,21,FALSE)*$D906</f>
        <v>33.037500000000001</v>
      </c>
      <c r="F906" s="14"/>
      <c r="G906" s="14"/>
      <c r="H906" s="14"/>
      <c r="I906" s="14"/>
    </row>
    <row r="907" spans="1:9" ht="20" customHeight="1">
      <c r="A907" s="2">
        <v>5</v>
      </c>
      <c r="B907" s="19" t="s">
        <v>81</v>
      </c>
      <c r="C907" s="2">
        <v>50</v>
      </c>
      <c r="D907" s="5">
        <f t="shared" si="110"/>
        <v>62.5</v>
      </c>
      <c r="E907" s="22">
        <f>+VLOOKUP($B907,'Master Data'!$B$22:$W$110,21,FALSE)*$D907</f>
        <v>2.5</v>
      </c>
      <c r="F907" s="14"/>
      <c r="G907" s="14"/>
      <c r="H907" s="14"/>
      <c r="I907" s="14"/>
    </row>
    <row r="908" spans="1:9" ht="20" customHeight="1">
      <c r="A908" s="2">
        <v>6</v>
      </c>
      <c r="B908" s="19" t="s">
        <v>82</v>
      </c>
      <c r="C908" s="2">
        <v>10</v>
      </c>
      <c r="D908" s="5">
        <f t="shared" si="110"/>
        <v>12.5</v>
      </c>
      <c r="E908" s="22">
        <f>+VLOOKUP($B908,'Master Data'!$B$22:$W$110,21,FALSE)*$D908</f>
        <v>3.15</v>
      </c>
      <c r="F908" s="14"/>
      <c r="G908" s="14"/>
      <c r="H908" s="14"/>
      <c r="I908" s="14"/>
    </row>
    <row r="909" spans="1:9" ht="20" customHeight="1">
      <c r="A909" s="2">
        <v>7</v>
      </c>
      <c r="B909" s="19" t="s">
        <v>308</v>
      </c>
      <c r="C909" s="2">
        <v>10</v>
      </c>
      <c r="D909" s="5">
        <f t="shared" si="110"/>
        <v>12.5</v>
      </c>
      <c r="E909" s="22">
        <f>+VLOOKUP($B909,'Master Data'!$B$22:$W$110,21,FALSE)*$D909</f>
        <v>5.37</v>
      </c>
      <c r="F909" s="14"/>
      <c r="G909" s="14"/>
      <c r="H909" s="14"/>
      <c r="I909" s="14"/>
    </row>
    <row r="910" spans="1:9" ht="20" customHeight="1">
      <c r="A910" s="2">
        <v>8</v>
      </c>
      <c r="B910" s="19" t="s">
        <v>1</v>
      </c>
      <c r="C910" s="2">
        <v>10</v>
      </c>
      <c r="D910" s="5">
        <f t="shared" si="110"/>
        <v>12.5</v>
      </c>
      <c r="E910" s="22">
        <f>+VLOOKUP($B910,'Master Data'!$B$22:$W$110,21,FALSE)*$D910</f>
        <v>14.887500000000001</v>
      </c>
      <c r="F910" s="14"/>
      <c r="G910" s="14"/>
      <c r="H910" s="14"/>
      <c r="I910" s="14"/>
    </row>
    <row r="911" spans="1:9" ht="20" customHeight="1">
      <c r="A911" s="2">
        <v>9</v>
      </c>
      <c r="B911" s="19" t="s">
        <v>2</v>
      </c>
      <c r="C911" s="2">
        <v>100</v>
      </c>
      <c r="D911" s="5">
        <f t="shared" si="110"/>
        <v>125</v>
      </c>
      <c r="E911" s="22">
        <f>+VLOOKUP($B911,'Master Data'!$B$22:$W$110,21,FALSE)*$D911</f>
        <v>24</v>
      </c>
      <c r="F911" s="14"/>
      <c r="G911" s="14"/>
      <c r="H911" s="14"/>
      <c r="I911" s="14"/>
    </row>
    <row r="912" spans="1:9" ht="20" customHeight="1">
      <c r="A912" s="2">
        <v>10</v>
      </c>
      <c r="B912" s="19" t="s">
        <v>3</v>
      </c>
      <c r="C912" s="2">
        <v>50</v>
      </c>
      <c r="D912" s="5">
        <f t="shared" si="110"/>
        <v>62.5</v>
      </c>
      <c r="E912" s="22">
        <f>+VLOOKUP($B912,'Master Data'!$B$22:$W$110,21,FALSE)*$D912</f>
        <v>19</v>
      </c>
      <c r="F912" s="14"/>
      <c r="G912" s="14"/>
      <c r="H912" s="14"/>
      <c r="I912" s="14"/>
    </row>
    <row r="913" spans="1:9" ht="20" customHeight="1">
      <c r="A913" s="2">
        <v>11</v>
      </c>
      <c r="B913" s="19" t="s">
        <v>68</v>
      </c>
      <c r="C913" s="2">
        <v>30</v>
      </c>
      <c r="D913" s="5">
        <f t="shared" si="110"/>
        <v>37.5</v>
      </c>
      <c r="E913" s="22">
        <f>+VLOOKUP($B913,'Master Data'!$B$22:$W$110,21,FALSE)*$D913</f>
        <v>17.025000000000002</v>
      </c>
      <c r="F913" s="14"/>
      <c r="G913" s="14"/>
      <c r="H913" s="14"/>
      <c r="I913" s="14"/>
    </row>
    <row r="914" spans="1:9" ht="20" customHeight="1">
      <c r="A914" s="2">
        <v>12</v>
      </c>
      <c r="B914" s="19" t="s">
        <v>87</v>
      </c>
      <c r="C914" s="2">
        <v>100</v>
      </c>
      <c r="D914" s="5">
        <f t="shared" si="110"/>
        <v>125</v>
      </c>
      <c r="E914" s="22">
        <f>+VLOOKUP($B914,'Master Data'!$B$22:$W$110,21,FALSE)*$D914</f>
        <v>22</v>
      </c>
      <c r="F914" s="14"/>
      <c r="G914" s="14"/>
      <c r="H914" s="14"/>
      <c r="I914" s="14"/>
    </row>
    <row r="915" spans="1:9" ht="20" customHeight="1">
      <c r="A915" s="2">
        <v>13</v>
      </c>
      <c r="B915" s="19" t="s">
        <v>86</v>
      </c>
      <c r="C915" s="2">
        <v>20</v>
      </c>
      <c r="D915" s="5">
        <f t="shared" si="110"/>
        <v>25</v>
      </c>
      <c r="E915" s="22">
        <f>+VLOOKUP($B915,'Master Data'!$B$22:$W$110,21,FALSE)*$D915</f>
        <v>6.75</v>
      </c>
      <c r="F915" s="14"/>
      <c r="G915" s="14"/>
      <c r="H915" s="14"/>
      <c r="I915" s="14"/>
    </row>
    <row r="916" spans="1:9" ht="20" customHeight="1">
      <c r="A916" s="2">
        <v>14</v>
      </c>
      <c r="B916" s="19" t="s">
        <v>89</v>
      </c>
      <c r="C916" s="2">
        <v>50</v>
      </c>
      <c r="D916" s="5">
        <f t="shared" si="110"/>
        <v>62.5</v>
      </c>
      <c r="E916" s="22">
        <f>+VLOOKUP($B916,'Master Data'!$B$22:$W$110,21,FALSE)*$D916</f>
        <v>28.821428571428569</v>
      </c>
      <c r="F916" s="14"/>
      <c r="G916" s="14"/>
      <c r="H916" s="14"/>
      <c r="I916" s="14"/>
    </row>
    <row r="917" spans="1:9" ht="20" customHeight="1">
      <c r="A917" s="2">
        <v>15</v>
      </c>
      <c r="B917" s="19" t="s">
        <v>16</v>
      </c>
      <c r="C917" s="2">
        <v>10</v>
      </c>
      <c r="D917" s="5">
        <f t="shared" si="110"/>
        <v>12.5</v>
      </c>
      <c r="E917" s="22">
        <f>+VLOOKUP($B917,'Master Data'!$B$22:$W$110,21,FALSE)*$D917</f>
        <v>34.262500000000003</v>
      </c>
      <c r="F917" s="14"/>
      <c r="G917" s="14"/>
      <c r="H917" s="14"/>
      <c r="I917" s="14"/>
    </row>
    <row r="918" spans="1:9" ht="20" customHeight="1">
      <c r="A918" s="2">
        <v>16</v>
      </c>
      <c r="B918" s="19" t="s">
        <v>90</v>
      </c>
      <c r="C918" s="2">
        <v>30</v>
      </c>
      <c r="D918" s="5">
        <f t="shared" si="110"/>
        <v>37.5</v>
      </c>
      <c r="E918" s="22">
        <f>+VLOOKUP($B918,'Master Data'!$B$22:$W$110,21,FALSE)*$D918</f>
        <v>14.4</v>
      </c>
      <c r="F918" s="14"/>
      <c r="G918" s="14"/>
      <c r="H918" s="14"/>
      <c r="I918" s="14"/>
    </row>
    <row r="919" spans="1:9" ht="20" customHeight="1">
      <c r="A919" s="2">
        <v>17</v>
      </c>
      <c r="B919" s="19" t="s">
        <v>12</v>
      </c>
      <c r="C919" s="2">
        <v>10</v>
      </c>
      <c r="D919" s="5">
        <f t="shared" si="110"/>
        <v>12.5</v>
      </c>
      <c r="E919" s="22">
        <f>+VLOOKUP($B919,'Master Data'!$B$22:$W$110,21,FALSE)*$D919</f>
        <v>11.762499999999999</v>
      </c>
      <c r="F919" s="14"/>
      <c r="G919" s="14"/>
      <c r="H919" s="14"/>
      <c r="I919" s="14"/>
    </row>
    <row r="920" spans="1:9" ht="20" customHeight="1">
      <c r="A920" s="2">
        <v>18</v>
      </c>
      <c r="B920" s="19" t="s">
        <v>91</v>
      </c>
      <c r="C920" s="2">
        <v>50</v>
      </c>
      <c r="D920" s="5">
        <f t="shared" si="110"/>
        <v>62.5</v>
      </c>
      <c r="E920" s="22">
        <f>+VLOOKUP($B920,'Master Data'!$B$22:$W$110,21,FALSE)*$D920</f>
        <v>14.535714285714285</v>
      </c>
      <c r="F920" s="14"/>
      <c r="G920" s="14"/>
      <c r="H920" s="14"/>
      <c r="I920" s="14"/>
    </row>
    <row r="921" spans="1:9" ht="20" customHeight="1">
      <c r="A921" s="2">
        <v>19</v>
      </c>
      <c r="B921" s="19" t="s">
        <v>181</v>
      </c>
      <c r="C921" s="2">
        <v>60</v>
      </c>
      <c r="D921" s="5">
        <f t="shared" si="110"/>
        <v>75</v>
      </c>
      <c r="E921" s="22">
        <f>+VLOOKUP($B921,'Master Data'!$B$22:$W$110,21,FALSE)*$D921</f>
        <v>21.45</v>
      </c>
      <c r="F921" s="14"/>
      <c r="G921" s="14"/>
      <c r="H921" s="14"/>
      <c r="I921" s="14"/>
    </row>
    <row r="922" spans="1:9" ht="20" customHeight="1">
      <c r="A922" s="2">
        <v>20</v>
      </c>
      <c r="B922" s="19" t="s">
        <v>185</v>
      </c>
      <c r="C922" s="2">
        <v>40</v>
      </c>
      <c r="D922" s="5">
        <f t="shared" si="110"/>
        <v>50</v>
      </c>
      <c r="E922" s="22">
        <f>+VLOOKUP($B922,'Master Data'!$B$22:$W$110,21,FALSE)*$D922</f>
        <v>30.049999999999997</v>
      </c>
      <c r="F922" s="14"/>
      <c r="G922" s="14"/>
      <c r="H922" s="14"/>
      <c r="I922" s="14"/>
    </row>
    <row r="923" spans="1:9" ht="20" customHeight="1">
      <c r="A923" s="2">
        <v>21</v>
      </c>
      <c r="B923" s="19" t="s">
        <v>47</v>
      </c>
      <c r="C923" s="2">
        <v>50</v>
      </c>
      <c r="D923" s="5">
        <f t="shared" si="110"/>
        <v>62.5</v>
      </c>
      <c r="E923" s="22">
        <f>+VLOOKUP($B923,'Master Data'!$B$22:$W$110,21,FALSE)*$D923</f>
        <v>2</v>
      </c>
      <c r="F923" s="14"/>
      <c r="G923" s="14"/>
      <c r="H923" s="14"/>
      <c r="I923" s="14"/>
    </row>
    <row r="924" spans="1:9" ht="20" customHeight="1">
      <c r="A924" s="2">
        <v>22</v>
      </c>
      <c r="B924" s="19" t="s">
        <v>71</v>
      </c>
      <c r="C924" s="2">
        <v>30</v>
      </c>
      <c r="D924" s="5">
        <f t="shared" si="110"/>
        <v>37.5</v>
      </c>
      <c r="E924" s="22">
        <f>+VLOOKUP($B924,'Master Data'!$B$22:$W$110,21,FALSE)*$D924</f>
        <v>17.8125</v>
      </c>
      <c r="F924" s="14"/>
      <c r="G924" s="14"/>
      <c r="H924" s="14"/>
      <c r="I924" s="14"/>
    </row>
    <row r="925" spans="1:9" ht="20" customHeight="1">
      <c r="A925" s="2">
        <v>23</v>
      </c>
      <c r="B925" s="19" t="s">
        <v>187</v>
      </c>
      <c r="C925" s="2">
        <v>10</v>
      </c>
      <c r="D925" s="5">
        <f t="shared" si="110"/>
        <v>12.5</v>
      </c>
      <c r="E925" s="22">
        <f>+VLOOKUP($B925,'Master Data'!$B$22:$W$110,21,FALSE)*$D925</f>
        <v>2.7124999999999999</v>
      </c>
      <c r="F925" s="14"/>
      <c r="G925" s="14"/>
      <c r="H925" s="14"/>
      <c r="I925" s="14"/>
    </row>
    <row r="926" spans="1:9" ht="20" customHeight="1">
      <c r="A926" s="10"/>
      <c r="B926" s="43" t="s">
        <v>72</v>
      </c>
      <c r="C926" s="44">
        <f>SUM(C903:C925)</f>
        <v>800</v>
      </c>
      <c r="D926" s="21">
        <f>SUM(D903:D925)</f>
        <v>1000</v>
      </c>
      <c r="E926" s="22">
        <f>SUM(E903:E925)</f>
        <v>385.55714285714282</v>
      </c>
      <c r="F926" s="14"/>
      <c r="G926" s="14"/>
      <c r="H926" s="14"/>
      <c r="I926" s="14"/>
    </row>
    <row r="927" spans="1:9" ht="20" customHeight="1">
      <c r="A927" s="10"/>
      <c r="B927" s="35" t="s">
        <v>451</v>
      </c>
      <c r="C927" s="37"/>
      <c r="D927" s="38"/>
      <c r="E927" s="22">
        <f>E926*($K$555/100)</f>
        <v>38.555714285714288</v>
      </c>
      <c r="F927" s="14"/>
      <c r="G927" s="14"/>
      <c r="H927" s="14"/>
      <c r="I927" s="14"/>
    </row>
    <row r="928" spans="1:9" ht="20" customHeight="1">
      <c r="A928" s="10"/>
      <c r="B928" s="24" t="s">
        <v>74</v>
      </c>
      <c r="C928" s="17"/>
      <c r="D928" s="25"/>
      <c r="E928" s="22">
        <f>E926+E927</f>
        <v>424.11285714285714</v>
      </c>
      <c r="F928" s="14"/>
      <c r="G928" s="14"/>
      <c r="H928" s="14"/>
      <c r="I928" s="14"/>
    </row>
    <row r="929" spans="1:9" ht="20" customHeight="1">
      <c r="A929" s="10"/>
      <c r="B929" s="27" t="s">
        <v>61</v>
      </c>
      <c r="C929" s="18"/>
      <c r="D929" s="18"/>
      <c r="E929" s="29">
        <f>E928/10</f>
        <v>42.411285714285711</v>
      </c>
      <c r="F929" s="14"/>
      <c r="G929" s="14"/>
      <c r="H929" s="14"/>
      <c r="I929" s="14"/>
    </row>
    <row r="930" spans="1:9" ht="20" customHeight="1">
      <c r="A930" s="1"/>
      <c r="B930" s="6"/>
      <c r="C930" s="9"/>
      <c r="D930" s="7"/>
      <c r="E930" s="36"/>
      <c r="F930" s="14"/>
      <c r="G930" s="14"/>
      <c r="H930" s="14"/>
      <c r="I930" s="14"/>
    </row>
    <row r="931" spans="1:9" ht="20" customHeight="1">
      <c r="A931" s="16"/>
      <c r="B931" s="14"/>
      <c r="C931" s="16"/>
      <c r="D931" s="16"/>
      <c r="E931" s="36"/>
      <c r="F931" s="14"/>
      <c r="G931" s="14"/>
      <c r="H931" s="14"/>
      <c r="I931" s="14"/>
    </row>
    <row r="932" spans="1:9" ht="20" customHeight="1">
      <c r="A932" s="385" t="s">
        <v>20</v>
      </c>
      <c r="B932" s="386"/>
      <c r="C932" s="386"/>
      <c r="D932" s="386"/>
      <c r="E932" s="387"/>
      <c r="F932" s="14"/>
      <c r="G932" s="14"/>
      <c r="H932" s="14"/>
      <c r="I932" s="14"/>
    </row>
    <row r="933" spans="1:9" ht="20" customHeight="1">
      <c r="A933" s="51" t="s">
        <v>27</v>
      </c>
      <c r="B933" s="51" t="s">
        <v>28</v>
      </c>
      <c r="C933" s="51" t="s">
        <v>29</v>
      </c>
      <c r="D933" s="15" t="s">
        <v>29</v>
      </c>
      <c r="E933" s="15" t="s">
        <v>31</v>
      </c>
      <c r="F933" s="14"/>
      <c r="G933" s="14"/>
      <c r="H933" s="14"/>
      <c r="I933" s="14"/>
    </row>
    <row r="934" spans="1:9" ht="20" customHeight="1">
      <c r="A934" s="51"/>
      <c r="B934" s="51"/>
      <c r="C934" s="51" t="s">
        <v>32</v>
      </c>
      <c r="D934" s="42" t="s">
        <v>33</v>
      </c>
      <c r="E934" s="42"/>
      <c r="F934" s="14"/>
      <c r="G934" s="14"/>
      <c r="H934" s="14"/>
      <c r="I934" s="14"/>
    </row>
    <row r="935" spans="1:9" ht="20" customHeight="1">
      <c r="A935" s="37">
        <v>1</v>
      </c>
      <c r="B935" s="19" t="s">
        <v>19</v>
      </c>
      <c r="C935" s="37">
        <v>10</v>
      </c>
      <c r="D935" s="38">
        <f t="shared" ref="D935:D953" si="111">C935*1000/$C$954</f>
        <v>8.4033613445378155</v>
      </c>
      <c r="E935" s="22">
        <f>+VLOOKUP($B935,'Master Data'!$B$22:$W$110,21,FALSE)*$D935</f>
        <v>4.5210084033613454</v>
      </c>
      <c r="F935" s="14"/>
      <c r="G935" s="14"/>
      <c r="H935" s="14"/>
      <c r="I935" s="14"/>
    </row>
    <row r="936" spans="1:9" ht="20" customHeight="1">
      <c r="A936" s="37">
        <v>2</v>
      </c>
      <c r="B936" s="19" t="s">
        <v>158</v>
      </c>
      <c r="C936" s="37">
        <v>5</v>
      </c>
      <c r="D936" s="38">
        <f t="shared" si="111"/>
        <v>4.2016806722689077</v>
      </c>
      <c r="E936" s="22">
        <f>+VLOOKUP($B936,'Master Data'!$B$22:$W$110,21,FALSE)*$D936</f>
        <v>0.72941176470588243</v>
      </c>
      <c r="F936" s="14"/>
      <c r="G936" s="14"/>
      <c r="H936" s="14"/>
      <c r="I936" s="14"/>
    </row>
    <row r="937" spans="1:9" ht="20" customHeight="1">
      <c r="A937" s="37">
        <v>3</v>
      </c>
      <c r="B937" s="19" t="s">
        <v>43</v>
      </c>
      <c r="C937" s="37">
        <v>200</v>
      </c>
      <c r="D937" s="38">
        <f t="shared" si="111"/>
        <v>168.0672268907563</v>
      </c>
      <c r="E937" s="22">
        <f>+VLOOKUP($B937,'Master Data'!$B$22:$W$110,21,FALSE)*$D937</f>
        <v>14.789915966386554</v>
      </c>
      <c r="F937" s="14"/>
      <c r="G937" s="14"/>
      <c r="H937" s="14"/>
      <c r="I937" s="14"/>
    </row>
    <row r="938" spans="1:9" ht="20" customHeight="1">
      <c r="A938" s="37">
        <v>4</v>
      </c>
      <c r="B938" s="19" t="s">
        <v>15</v>
      </c>
      <c r="C938" s="37">
        <v>30</v>
      </c>
      <c r="D938" s="38">
        <f t="shared" si="111"/>
        <v>25.210084033613445</v>
      </c>
      <c r="E938" s="22">
        <f>+VLOOKUP($B938,'Master Data'!$B$22:$W$110,21,FALSE)*$D938</f>
        <v>49.376470588235293</v>
      </c>
      <c r="F938" s="14"/>
      <c r="G938" s="14"/>
      <c r="H938" s="14"/>
      <c r="I938" s="14"/>
    </row>
    <row r="939" spans="1:9" ht="20" customHeight="1">
      <c r="A939" s="37">
        <v>5</v>
      </c>
      <c r="B939" s="19" t="s">
        <v>66</v>
      </c>
      <c r="C939" s="37">
        <v>200</v>
      </c>
      <c r="D939" s="38">
        <f t="shared" si="111"/>
        <v>168.0672268907563</v>
      </c>
      <c r="E939" s="22">
        <f>+VLOOKUP($B939,'Master Data'!$B$22:$W$110,21,FALSE)*$D939</f>
        <v>23.529411764705884</v>
      </c>
      <c r="F939" s="14"/>
      <c r="G939" s="14"/>
      <c r="H939" s="14"/>
      <c r="I939" s="14"/>
    </row>
    <row r="940" spans="1:9" ht="20" customHeight="1">
      <c r="A940" s="37">
        <v>6</v>
      </c>
      <c r="B940" s="19" t="s">
        <v>0</v>
      </c>
      <c r="C940" s="37">
        <v>20</v>
      </c>
      <c r="D940" s="38">
        <f t="shared" si="111"/>
        <v>16.806722689075631</v>
      </c>
      <c r="E940" s="22">
        <f>+VLOOKUP($B940,'Master Data'!$B$22:$W$110,21,FALSE)*$D940</f>
        <v>14.806722689075631</v>
      </c>
      <c r="F940" s="14"/>
      <c r="G940" s="14"/>
      <c r="H940" s="14"/>
      <c r="I940" s="14"/>
    </row>
    <row r="941" spans="1:9" ht="20" customHeight="1">
      <c r="A941" s="37">
        <v>7</v>
      </c>
      <c r="B941" s="19" t="s">
        <v>181</v>
      </c>
      <c r="C941" s="53">
        <v>80</v>
      </c>
      <c r="D941" s="38">
        <f t="shared" si="111"/>
        <v>67.226890756302524</v>
      </c>
      <c r="E941" s="22">
        <f>+VLOOKUP($B941,'Master Data'!$B$22:$W$110,21,FALSE)*$D941</f>
        <v>19.22689075630252</v>
      </c>
      <c r="F941" s="14"/>
      <c r="G941" s="14"/>
      <c r="H941" s="14"/>
      <c r="I941" s="14"/>
    </row>
    <row r="942" spans="1:9" ht="20" customHeight="1">
      <c r="A942" s="37">
        <v>8</v>
      </c>
      <c r="B942" s="19" t="s">
        <v>185</v>
      </c>
      <c r="C942" s="53">
        <v>35</v>
      </c>
      <c r="D942" s="38">
        <f t="shared" si="111"/>
        <v>29.411764705882351</v>
      </c>
      <c r="E942" s="22">
        <f>+VLOOKUP($B942,'Master Data'!$B$22:$W$110,21,FALSE)*$D942</f>
        <v>17.676470588235293</v>
      </c>
      <c r="F942" s="14"/>
      <c r="G942" s="14"/>
      <c r="H942" s="14"/>
      <c r="I942" s="14"/>
    </row>
    <row r="943" spans="1:9" ht="20" customHeight="1">
      <c r="A943" s="37">
        <v>9</v>
      </c>
      <c r="B943" s="19" t="s">
        <v>544</v>
      </c>
      <c r="C943" s="37">
        <v>5</v>
      </c>
      <c r="D943" s="38">
        <f t="shared" si="111"/>
        <v>4.2016806722689077</v>
      </c>
      <c r="E943" s="22">
        <f>+VLOOKUP($B943,'Master Data'!$B$22:$W$110,21,FALSE)*$D943</f>
        <v>13.19747899159664</v>
      </c>
      <c r="F943" s="14"/>
      <c r="G943" s="14"/>
      <c r="H943" s="14"/>
      <c r="I943" s="14"/>
    </row>
    <row r="944" spans="1:9" ht="20" customHeight="1">
      <c r="A944" s="37">
        <v>10</v>
      </c>
      <c r="B944" s="19" t="s">
        <v>308</v>
      </c>
      <c r="C944" s="37">
        <v>30</v>
      </c>
      <c r="D944" s="38">
        <f t="shared" si="111"/>
        <v>25.210084033613445</v>
      </c>
      <c r="E944" s="22">
        <f>+VLOOKUP($B944,'Master Data'!$B$22:$W$110,21,FALSE)*$D944</f>
        <v>10.830252100840337</v>
      </c>
      <c r="F944" s="14"/>
      <c r="G944" s="14"/>
      <c r="H944" s="14"/>
      <c r="I944" s="14"/>
    </row>
    <row r="945" spans="1:9" ht="20" customHeight="1">
      <c r="A945" s="37">
        <v>11</v>
      </c>
      <c r="B945" s="19" t="s">
        <v>1</v>
      </c>
      <c r="C945" s="37">
        <v>10</v>
      </c>
      <c r="D945" s="38">
        <f t="shared" si="111"/>
        <v>8.4033613445378155</v>
      </c>
      <c r="E945" s="22">
        <f>+VLOOKUP($B945,'Master Data'!$B$22:$W$110,21,FALSE)*$D945</f>
        <v>10.00840336134454</v>
      </c>
      <c r="F945" s="14"/>
      <c r="G945" s="14"/>
      <c r="H945" s="14"/>
      <c r="I945" s="14"/>
    </row>
    <row r="946" spans="1:9" ht="20" customHeight="1">
      <c r="A946" s="37">
        <v>12</v>
      </c>
      <c r="B946" s="19" t="s">
        <v>2</v>
      </c>
      <c r="C946" s="37">
        <v>300</v>
      </c>
      <c r="D946" s="38">
        <f t="shared" si="111"/>
        <v>252.10084033613447</v>
      </c>
      <c r="E946" s="22">
        <f>+VLOOKUP($B946,'Master Data'!$B$22:$W$110,21,FALSE)*$D946</f>
        <v>48.403361344537821</v>
      </c>
      <c r="F946" s="14"/>
      <c r="G946" s="14"/>
      <c r="H946" s="14"/>
      <c r="I946" s="14"/>
    </row>
    <row r="947" spans="1:9" ht="20" customHeight="1">
      <c r="A947" s="37">
        <v>13</v>
      </c>
      <c r="B947" s="19" t="s">
        <v>3</v>
      </c>
      <c r="C947" s="37">
        <v>60</v>
      </c>
      <c r="D947" s="38">
        <f t="shared" si="111"/>
        <v>50.420168067226889</v>
      </c>
      <c r="E947" s="22">
        <f>+VLOOKUP($B947,'Master Data'!$B$22:$W$110,21,FALSE)*$D947</f>
        <v>15.327731092436974</v>
      </c>
      <c r="F947" s="14"/>
      <c r="G947" s="14"/>
      <c r="H947" s="14"/>
      <c r="I947" s="14"/>
    </row>
    <row r="948" spans="1:9" ht="20" customHeight="1">
      <c r="A948" s="37">
        <v>14</v>
      </c>
      <c r="B948" s="19" t="s">
        <v>52</v>
      </c>
      <c r="C948" s="37">
        <v>120</v>
      </c>
      <c r="D948" s="38">
        <f t="shared" si="111"/>
        <v>100.84033613445378</v>
      </c>
      <c r="E948" s="22">
        <f>+VLOOKUP($B948,'Master Data'!$B$22:$W$110,21,FALSE)*$D948</f>
        <v>34.890756302521005</v>
      </c>
      <c r="F948" s="14"/>
      <c r="G948" s="14"/>
      <c r="H948" s="14"/>
      <c r="I948" s="14"/>
    </row>
    <row r="949" spans="1:9" ht="20" customHeight="1">
      <c r="A949" s="37">
        <v>15</v>
      </c>
      <c r="B949" s="19" t="s">
        <v>40</v>
      </c>
      <c r="C949" s="37">
        <v>10</v>
      </c>
      <c r="D949" s="38">
        <f t="shared" si="111"/>
        <v>8.4033613445378155</v>
      </c>
      <c r="E949" s="22">
        <f>+VLOOKUP($B949,'Master Data'!$B$22:$W$110,21,FALSE)*$D949</f>
        <v>0.84033613445378164</v>
      </c>
      <c r="F949" s="14"/>
      <c r="G949" s="14"/>
      <c r="H949" s="14"/>
      <c r="I949" s="14"/>
    </row>
    <row r="950" spans="1:9" ht="20" customHeight="1">
      <c r="A950" s="37">
        <v>16</v>
      </c>
      <c r="B950" s="19" t="s">
        <v>270</v>
      </c>
      <c r="C950" s="37">
        <v>10</v>
      </c>
      <c r="D950" s="38">
        <f t="shared" si="111"/>
        <v>8.4033613445378155</v>
      </c>
      <c r="E950" s="22">
        <f>+VLOOKUP($B950,'Master Data'!$B$22:$W$110,21,FALSE)*$D950</f>
        <v>8.9915966386554622</v>
      </c>
      <c r="F950" s="14"/>
      <c r="G950" s="14"/>
      <c r="H950" s="14"/>
      <c r="I950" s="14"/>
    </row>
    <row r="951" spans="1:9" ht="20" customHeight="1">
      <c r="A951" s="37">
        <v>17</v>
      </c>
      <c r="B951" s="19" t="s">
        <v>47</v>
      </c>
      <c r="C951" s="37">
        <v>10</v>
      </c>
      <c r="D951" s="38">
        <f t="shared" si="111"/>
        <v>8.4033613445378155</v>
      </c>
      <c r="E951" s="22">
        <f>+VLOOKUP($B951,'Master Data'!$B$22:$W$110,21,FALSE)*$D951</f>
        <v>0.26890756302521013</v>
      </c>
      <c r="F951" s="14"/>
      <c r="G951" s="14"/>
      <c r="H951" s="14"/>
      <c r="I951" s="14"/>
    </row>
    <row r="952" spans="1:9" ht="20" customHeight="1">
      <c r="A952" s="37">
        <v>18</v>
      </c>
      <c r="B952" s="19" t="s">
        <v>187</v>
      </c>
      <c r="C952" s="37">
        <v>5</v>
      </c>
      <c r="D952" s="38">
        <f t="shared" si="111"/>
        <v>4.2016806722689077</v>
      </c>
      <c r="E952" s="22">
        <f>+VLOOKUP($B952,'Master Data'!$B$22:$W$110,21,FALSE)*$D952</f>
        <v>0.91176470588235292</v>
      </c>
      <c r="F952" s="14"/>
      <c r="G952" s="14"/>
      <c r="H952" s="14"/>
      <c r="I952" s="14"/>
    </row>
    <row r="953" spans="1:9" ht="20" customHeight="1">
      <c r="A953" s="37">
        <v>19</v>
      </c>
      <c r="B953" s="19" t="s">
        <v>57</v>
      </c>
      <c r="C953" s="37">
        <v>50</v>
      </c>
      <c r="D953" s="38">
        <f t="shared" si="111"/>
        <v>42.016806722689076</v>
      </c>
      <c r="E953" s="22">
        <f>+VLOOKUP($B953,'Master Data'!$B$22:$W$110,21,FALSE)*$D953</f>
        <v>8.9075630252100844</v>
      </c>
      <c r="F953" s="14"/>
      <c r="G953" s="14"/>
      <c r="H953" s="14"/>
      <c r="I953" s="14"/>
    </row>
    <row r="954" spans="1:9" ht="20" customHeight="1">
      <c r="A954" s="51"/>
      <c r="B954" s="43" t="s">
        <v>72</v>
      </c>
      <c r="C954" s="51">
        <f>SUM(C935:C953)</f>
        <v>1190</v>
      </c>
      <c r="D954" s="54">
        <f>SUM(D935:D953)</f>
        <v>1000.0000000000002</v>
      </c>
      <c r="E954" s="52">
        <f>SUM(E935:E952)</f>
        <v>288.32689075630253</v>
      </c>
      <c r="F954" s="14"/>
      <c r="G954" s="14"/>
      <c r="H954" s="14"/>
      <c r="I954" s="14"/>
    </row>
    <row r="955" spans="1:9" ht="20" customHeight="1">
      <c r="A955" s="20"/>
      <c r="B955" s="35" t="s">
        <v>451</v>
      </c>
      <c r="C955" s="44"/>
      <c r="D955" s="21"/>
      <c r="E955" s="22">
        <f>E954*($K$555/100)</f>
        <v>28.832689075630256</v>
      </c>
      <c r="F955" s="14"/>
      <c r="G955" s="14"/>
      <c r="H955" s="14"/>
      <c r="I955" s="14"/>
    </row>
    <row r="956" spans="1:9" ht="20" customHeight="1">
      <c r="A956" s="37"/>
      <c r="B956" s="24" t="s">
        <v>74</v>
      </c>
      <c r="C956" s="17"/>
      <c r="D956" s="25"/>
      <c r="E956" s="22">
        <f>E954+E955</f>
        <v>317.15957983193277</v>
      </c>
      <c r="F956" s="14"/>
      <c r="G956" s="14"/>
      <c r="H956" s="14"/>
      <c r="I956" s="14"/>
    </row>
    <row r="957" spans="1:9" ht="20" customHeight="1">
      <c r="A957" s="18"/>
      <c r="B957" s="27" t="s">
        <v>61</v>
      </c>
      <c r="C957" s="18"/>
      <c r="D957" s="18"/>
      <c r="E957" s="29">
        <f>E956/10</f>
        <v>31.715957983193277</v>
      </c>
      <c r="F957" s="14"/>
      <c r="G957" s="14"/>
      <c r="H957" s="14"/>
      <c r="I957" s="14"/>
    </row>
    <row r="958" spans="1:9" ht="20" customHeight="1">
      <c r="A958" s="20"/>
      <c r="B958" s="27"/>
      <c r="C958" s="18"/>
      <c r="D958" s="18"/>
      <c r="E958" s="29"/>
      <c r="F958" s="14"/>
      <c r="G958" s="14"/>
      <c r="H958" s="14"/>
      <c r="I958" s="14"/>
    </row>
    <row r="959" spans="1:9" ht="20" customHeight="1">
      <c r="A959" s="16"/>
      <c r="B959" s="14"/>
      <c r="C959" s="16"/>
      <c r="D959" s="16"/>
      <c r="E959" s="36"/>
      <c r="F959" s="14"/>
      <c r="G959" s="14"/>
      <c r="H959" s="14"/>
      <c r="I959" s="14"/>
    </row>
    <row r="960" spans="1:9" ht="20" customHeight="1">
      <c r="A960" s="16"/>
      <c r="B960" s="14"/>
      <c r="C960" s="16"/>
      <c r="D960" s="16"/>
      <c r="E960" s="36"/>
      <c r="F960" s="14"/>
      <c r="G960" s="14"/>
      <c r="H960" s="14"/>
      <c r="I960" s="14"/>
    </row>
    <row r="961" spans="1:9" ht="20" customHeight="1">
      <c r="A961" s="376" t="s">
        <v>105</v>
      </c>
      <c r="B961" s="377"/>
      <c r="C961" s="377"/>
      <c r="D961" s="377"/>
      <c r="E961" s="378"/>
      <c r="F961" s="14"/>
      <c r="G961" s="14"/>
      <c r="H961" s="14"/>
      <c r="I961" s="14"/>
    </row>
    <row r="962" spans="1:9" ht="20" customHeight="1">
      <c r="A962" s="10" t="s">
        <v>27</v>
      </c>
      <c r="B962" s="10" t="s">
        <v>28</v>
      </c>
      <c r="C962" s="10" t="s">
        <v>29</v>
      </c>
      <c r="D962" s="10" t="s">
        <v>29</v>
      </c>
      <c r="E962" s="15" t="s">
        <v>31</v>
      </c>
      <c r="F962" s="14"/>
      <c r="G962" s="14"/>
      <c r="H962" s="14"/>
      <c r="I962" s="14"/>
    </row>
    <row r="963" spans="1:9" ht="20" customHeight="1">
      <c r="A963" s="3">
        <v>1</v>
      </c>
      <c r="B963" s="19" t="s">
        <v>158</v>
      </c>
      <c r="C963" s="2">
        <v>282</v>
      </c>
      <c r="D963" s="5">
        <f t="shared" ref="D963:D971" si="112">C963*1000/$C$972</f>
        <v>281.43712574850298</v>
      </c>
      <c r="E963" s="22">
        <f>+VLOOKUP($B963,'Master Data'!$B$22:$W$110,21,FALSE)*$D963</f>
        <v>48.857485029940115</v>
      </c>
      <c r="F963" s="14"/>
      <c r="G963" s="14"/>
      <c r="H963" s="14"/>
      <c r="I963" s="14"/>
    </row>
    <row r="964" spans="1:9" ht="20" customHeight="1">
      <c r="A964" s="2">
        <v>2</v>
      </c>
      <c r="B964" s="19" t="s">
        <v>158</v>
      </c>
      <c r="C964" s="2">
        <v>282</v>
      </c>
      <c r="D964" s="5">
        <f t="shared" si="112"/>
        <v>281.43712574850298</v>
      </c>
      <c r="E964" s="22">
        <f>+VLOOKUP($B964,'Master Data'!$B$22:$W$110,21,FALSE)*$D964</f>
        <v>48.857485029940115</v>
      </c>
      <c r="F964" s="14"/>
      <c r="G964" s="14"/>
      <c r="H964" s="14"/>
      <c r="I964" s="14"/>
    </row>
    <row r="965" spans="1:9" ht="20" customHeight="1">
      <c r="A965" s="2">
        <v>3</v>
      </c>
      <c r="B965" s="19" t="s">
        <v>158</v>
      </c>
      <c r="C965" s="2">
        <v>99</v>
      </c>
      <c r="D965" s="5">
        <f t="shared" si="112"/>
        <v>98.802395209580837</v>
      </c>
      <c r="E965" s="22">
        <f>+VLOOKUP($B965,'Master Data'!$B$22:$W$110,21,FALSE)*$D965</f>
        <v>17.152095808383233</v>
      </c>
      <c r="F965" s="14"/>
      <c r="G965" s="14"/>
      <c r="H965" s="14"/>
      <c r="I965" s="14"/>
    </row>
    <row r="966" spans="1:9" ht="20" customHeight="1">
      <c r="A966" s="3">
        <v>4</v>
      </c>
      <c r="B966" s="19" t="s">
        <v>158</v>
      </c>
      <c r="C966" s="2">
        <v>99</v>
      </c>
      <c r="D966" s="5">
        <f t="shared" si="112"/>
        <v>98.802395209580837</v>
      </c>
      <c r="E966" s="22">
        <f>+VLOOKUP($B966,'Master Data'!$B$22:$W$110,21,FALSE)*$D966</f>
        <v>17.152095808383233</v>
      </c>
      <c r="F966" s="14"/>
      <c r="G966" s="14"/>
      <c r="H966" s="14"/>
      <c r="I966" s="14"/>
    </row>
    <row r="967" spans="1:9" ht="20" customHeight="1">
      <c r="A967" s="2">
        <v>5</v>
      </c>
      <c r="B967" s="19" t="s">
        <v>158</v>
      </c>
      <c r="C967" s="2">
        <v>28</v>
      </c>
      <c r="D967" s="5">
        <f t="shared" si="112"/>
        <v>27.944111776447105</v>
      </c>
      <c r="E967" s="22">
        <f>+VLOOKUP($B967,'Master Data'!$B$22:$W$110,21,FALSE)*$D967</f>
        <v>4.8510978043912178</v>
      </c>
      <c r="F967" s="14"/>
      <c r="G967" s="14"/>
      <c r="H967" s="14"/>
      <c r="I967" s="14"/>
    </row>
    <row r="968" spans="1:9" ht="20" customHeight="1">
      <c r="A968" s="2">
        <v>6</v>
      </c>
      <c r="B968" s="19" t="s">
        <v>158</v>
      </c>
      <c r="C968" s="2">
        <v>17</v>
      </c>
      <c r="D968" s="5">
        <f t="shared" si="112"/>
        <v>16.966067864271459</v>
      </c>
      <c r="E968" s="22">
        <f>+VLOOKUP($B968,'Master Data'!$B$22:$W$110,21,FALSE)*$D968</f>
        <v>2.9453093812375255</v>
      </c>
      <c r="F968" s="14"/>
      <c r="G968" s="14"/>
      <c r="H968" s="14"/>
      <c r="I968" s="14"/>
    </row>
    <row r="969" spans="1:9" ht="20" customHeight="1">
      <c r="A969" s="3">
        <v>7</v>
      </c>
      <c r="B969" s="19" t="s">
        <v>158</v>
      </c>
      <c r="C969" s="2">
        <v>34</v>
      </c>
      <c r="D969" s="5">
        <f t="shared" si="112"/>
        <v>33.932135728542917</v>
      </c>
      <c r="E969" s="22">
        <f>+VLOOKUP($B969,'Master Data'!$B$22:$W$110,21,FALSE)*$D969</f>
        <v>5.890618762475051</v>
      </c>
      <c r="F969" s="14"/>
      <c r="G969" s="14"/>
      <c r="H969" s="14"/>
      <c r="I969" s="14"/>
    </row>
    <row r="970" spans="1:9" ht="20" customHeight="1">
      <c r="A970" s="2">
        <v>8</v>
      </c>
      <c r="B970" s="19" t="s">
        <v>158</v>
      </c>
      <c r="C970" s="2">
        <v>141</v>
      </c>
      <c r="D970" s="5">
        <f t="shared" si="112"/>
        <v>140.71856287425149</v>
      </c>
      <c r="E970" s="22">
        <f>+VLOOKUP($B970,'Master Data'!$B$22:$W$110,21,FALSE)*$D970</f>
        <v>24.428742514970057</v>
      </c>
      <c r="F970" s="14"/>
      <c r="G970" s="14"/>
      <c r="H970" s="14"/>
      <c r="I970" s="14"/>
    </row>
    <row r="971" spans="1:9" ht="20" customHeight="1">
      <c r="A971" s="2">
        <v>9</v>
      </c>
      <c r="B971" s="19" t="s">
        <v>158</v>
      </c>
      <c r="C971" s="2">
        <v>20</v>
      </c>
      <c r="D971" s="5">
        <f t="shared" si="112"/>
        <v>19.960079840319363</v>
      </c>
      <c r="E971" s="22">
        <f>+VLOOKUP($B971,'Master Data'!$B$22:$W$110,21,FALSE)*$D971</f>
        <v>3.4650698602794416</v>
      </c>
      <c r="F971" s="14"/>
      <c r="G971" s="14"/>
      <c r="H971" s="14"/>
      <c r="I971" s="14"/>
    </row>
    <row r="972" spans="1:9" ht="20" customHeight="1">
      <c r="A972" s="2"/>
      <c r="B972" s="39" t="s">
        <v>72</v>
      </c>
      <c r="C972" s="51">
        <f>SUM(C963:C971)</f>
        <v>1002</v>
      </c>
      <c r="D972" s="54">
        <f>SUM(D963:D971)</f>
        <v>1000</v>
      </c>
      <c r="E972" s="22">
        <f>SUM(E963:E971)</f>
        <v>173.6</v>
      </c>
      <c r="F972" s="14"/>
      <c r="G972" s="14"/>
      <c r="H972" s="14"/>
      <c r="I972" s="14"/>
    </row>
    <row r="973" spans="1:9" ht="20" customHeight="1">
      <c r="A973" s="2"/>
      <c r="B973" s="35" t="s">
        <v>451</v>
      </c>
      <c r="C973" s="18"/>
      <c r="D973" s="21"/>
      <c r="E973" s="22">
        <f>E972*($K$555/100)</f>
        <v>17.36</v>
      </c>
      <c r="F973" s="14"/>
      <c r="G973" s="14"/>
      <c r="H973" s="14"/>
      <c r="I973" s="14"/>
    </row>
    <row r="974" spans="1:9" ht="20" customHeight="1">
      <c r="A974" s="2"/>
      <c r="B974" s="24" t="s">
        <v>74</v>
      </c>
      <c r="C974" s="17"/>
      <c r="D974" s="25"/>
      <c r="E974" s="22">
        <f>E972+E973</f>
        <v>190.95999999999998</v>
      </c>
      <c r="F974" s="14"/>
      <c r="G974" s="14"/>
      <c r="H974" s="14"/>
      <c r="I974" s="14"/>
    </row>
    <row r="975" spans="1:9" ht="20" customHeight="1">
      <c r="A975" s="2"/>
      <c r="B975" s="27" t="s">
        <v>61</v>
      </c>
      <c r="C975" s="18"/>
      <c r="D975" s="18"/>
      <c r="E975" s="29">
        <f>E974/10</f>
        <v>19.095999999999997</v>
      </c>
      <c r="F975" s="14"/>
      <c r="G975" s="14"/>
      <c r="H975" s="14"/>
      <c r="I975" s="14"/>
    </row>
    <row r="976" spans="1:9" ht="20" customHeight="1">
      <c r="A976" s="1"/>
      <c r="B976" s="4"/>
      <c r="C976" s="1"/>
      <c r="D976" s="1"/>
      <c r="E976" s="4"/>
      <c r="F976" s="14"/>
      <c r="G976" s="14"/>
      <c r="H976" s="14"/>
      <c r="I976" s="14"/>
    </row>
    <row r="977" spans="1:9" ht="20" customHeight="1">
      <c r="A977" s="1"/>
      <c r="B977" s="4"/>
      <c r="C977" s="1"/>
      <c r="D977" s="1"/>
      <c r="E977" s="4"/>
      <c r="F977" s="14"/>
      <c r="G977" s="14"/>
      <c r="H977" s="14"/>
      <c r="I977" s="14"/>
    </row>
    <row r="978" spans="1:9" ht="20" customHeight="1">
      <c r="A978" s="376" t="s">
        <v>106</v>
      </c>
      <c r="B978" s="377"/>
      <c r="C978" s="377"/>
      <c r="D978" s="377"/>
      <c r="E978" s="378"/>
      <c r="F978" s="14"/>
      <c r="G978" s="14"/>
      <c r="H978" s="14"/>
      <c r="I978" s="14"/>
    </row>
    <row r="979" spans="1:9" ht="20" customHeight="1">
      <c r="A979" s="10" t="s">
        <v>27</v>
      </c>
      <c r="B979" s="10" t="s">
        <v>28</v>
      </c>
      <c r="C979" s="10" t="s">
        <v>29</v>
      </c>
      <c r="D979" s="10" t="s">
        <v>29</v>
      </c>
      <c r="E979" s="15" t="s">
        <v>31</v>
      </c>
      <c r="F979" s="14"/>
      <c r="G979" s="14"/>
      <c r="H979" s="14"/>
      <c r="I979" s="14"/>
    </row>
    <row r="980" spans="1:9" ht="20" customHeight="1">
      <c r="A980" s="3">
        <v>1</v>
      </c>
      <c r="B980" s="19" t="s">
        <v>158</v>
      </c>
      <c r="C980" s="2">
        <v>338</v>
      </c>
      <c r="D980" s="5">
        <f t="shared" ref="D980:D988" si="113">C980*1000/$C$989</f>
        <v>337.32534930139718</v>
      </c>
      <c r="E980" s="22">
        <f>+VLOOKUP($B980,'Master Data'!$B$22:$W$110,21,FALSE)*$D980</f>
        <v>58.559680638722554</v>
      </c>
      <c r="F980" s="14"/>
      <c r="G980" s="14"/>
      <c r="H980" s="14"/>
      <c r="I980" s="14"/>
    </row>
    <row r="981" spans="1:9" ht="20" customHeight="1">
      <c r="A981" s="2">
        <v>2</v>
      </c>
      <c r="B981" s="19" t="s">
        <v>158</v>
      </c>
      <c r="C981" s="2">
        <v>226</v>
      </c>
      <c r="D981" s="5">
        <f t="shared" si="113"/>
        <v>225.54890219560878</v>
      </c>
      <c r="E981" s="22">
        <f>+VLOOKUP($B981,'Master Data'!$B$22:$W$110,21,FALSE)*$D981</f>
        <v>39.155289421157683</v>
      </c>
      <c r="F981" s="14"/>
      <c r="G981" s="14"/>
      <c r="H981" s="14"/>
      <c r="I981" s="14"/>
    </row>
    <row r="982" spans="1:9" ht="20" customHeight="1">
      <c r="A982" s="2">
        <v>3</v>
      </c>
      <c r="B982" s="19" t="s">
        <v>158</v>
      </c>
      <c r="C982" s="2">
        <v>99</v>
      </c>
      <c r="D982" s="5">
        <f t="shared" si="113"/>
        <v>98.802395209580837</v>
      </c>
      <c r="E982" s="22">
        <f>+VLOOKUP($B982,'Master Data'!$B$22:$W$110,21,FALSE)*$D982</f>
        <v>17.152095808383233</v>
      </c>
      <c r="F982" s="14"/>
      <c r="G982" s="14"/>
      <c r="H982" s="14"/>
      <c r="I982" s="14"/>
    </row>
    <row r="983" spans="1:9" ht="20" customHeight="1">
      <c r="A983" s="3">
        <v>4</v>
      </c>
      <c r="B983" s="19" t="s">
        <v>158</v>
      </c>
      <c r="C983" s="2">
        <v>99</v>
      </c>
      <c r="D983" s="5">
        <f t="shared" si="113"/>
        <v>98.802395209580837</v>
      </c>
      <c r="E983" s="22">
        <f>+VLOOKUP($B983,'Master Data'!$B$22:$W$110,21,FALSE)*$D983</f>
        <v>17.152095808383233</v>
      </c>
      <c r="F983" s="14"/>
      <c r="G983" s="14"/>
      <c r="H983" s="14"/>
      <c r="I983" s="14"/>
    </row>
    <row r="984" spans="1:9" ht="20" customHeight="1">
      <c r="A984" s="2">
        <v>5</v>
      </c>
      <c r="B984" s="19" t="s">
        <v>158</v>
      </c>
      <c r="C984" s="2">
        <v>28</v>
      </c>
      <c r="D984" s="5">
        <f t="shared" si="113"/>
        <v>27.944111776447105</v>
      </c>
      <c r="E984" s="22">
        <f>+VLOOKUP($B984,'Master Data'!$B$22:$W$110,21,FALSE)*$D984</f>
        <v>4.8510978043912178</v>
      </c>
      <c r="F984" s="14"/>
      <c r="G984" s="14"/>
      <c r="H984" s="14"/>
      <c r="I984" s="14"/>
    </row>
    <row r="985" spans="1:9" ht="20" customHeight="1">
      <c r="A985" s="2">
        <v>6</v>
      </c>
      <c r="B985" s="19" t="s">
        <v>158</v>
      </c>
      <c r="C985" s="2">
        <v>17</v>
      </c>
      <c r="D985" s="5">
        <f t="shared" si="113"/>
        <v>16.966067864271459</v>
      </c>
      <c r="E985" s="22">
        <f>+VLOOKUP($B985,'Master Data'!$B$22:$W$110,21,FALSE)*$D985</f>
        <v>2.9453093812375255</v>
      </c>
      <c r="F985" s="14"/>
      <c r="G985" s="14"/>
      <c r="H985" s="14"/>
      <c r="I985" s="14"/>
    </row>
    <row r="986" spans="1:9" ht="20" customHeight="1">
      <c r="A986" s="3">
        <v>7</v>
      </c>
      <c r="B986" s="19" t="s">
        <v>158</v>
      </c>
      <c r="C986" s="2">
        <v>34</v>
      </c>
      <c r="D986" s="5">
        <f t="shared" si="113"/>
        <v>33.932135728542917</v>
      </c>
      <c r="E986" s="22">
        <f>+VLOOKUP($B986,'Master Data'!$B$22:$W$110,21,FALSE)*$D986</f>
        <v>5.890618762475051</v>
      </c>
      <c r="F986" s="14"/>
      <c r="G986" s="14"/>
      <c r="H986" s="14"/>
      <c r="I986" s="14"/>
    </row>
    <row r="987" spans="1:9" ht="20" customHeight="1">
      <c r="A987" s="2">
        <v>8</v>
      </c>
      <c r="B987" s="19" t="s">
        <v>158</v>
      </c>
      <c r="C987" s="2">
        <v>141</v>
      </c>
      <c r="D987" s="5">
        <f t="shared" si="113"/>
        <v>140.71856287425149</v>
      </c>
      <c r="E987" s="22">
        <f>+VLOOKUP($B987,'Master Data'!$B$22:$W$110,21,FALSE)*$D987</f>
        <v>24.428742514970057</v>
      </c>
      <c r="F987" s="14"/>
      <c r="G987" s="14"/>
      <c r="H987" s="14"/>
      <c r="I987" s="14"/>
    </row>
    <row r="988" spans="1:9" ht="20" customHeight="1">
      <c r="A988" s="2">
        <v>9</v>
      </c>
      <c r="B988" s="19" t="s">
        <v>158</v>
      </c>
      <c r="C988" s="2">
        <v>20</v>
      </c>
      <c r="D988" s="5">
        <f t="shared" si="113"/>
        <v>19.960079840319363</v>
      </c>
      <c r="E988" s="22">
        <f>+VLOOKUP($B988,'Master Data'!$B$22:$W$110,21,FALSE)*$D988</f>
        <v>3.4650698602794416</v>
      </c>
      <c r="F988" s="14"/>
      <c r="G988" s="14"/>
      <c r="H988" s="14"/>
      <c r="I988" s="14"/>
    </row>
    <row r="989" spans="1:9" ht="20" customHeight="1">
      <c r="A989" s="2"/>
      <c r="B989" s="39" t="s">
        <v>72</v>
      </c>
      <c r="C989" s="51">
        <f>SUM(C980:C988)</f>
        <v>1002</v>
      </c>
      <c r="D989" s="54">
        <f>SUM(D980:D988)</f>
        <v>1000</v>
      </c>
      <c r="E989" s="22">
        <f>SUM(E980:E988)</f>
        <v>173.60000000000002</v>
      </c>
      <c r="F989" s="14"/>
      <c r="G989" s="14"/>
      <c r="H989" s="14"/>
      <c r="I989" s="14"/>
    </row>
    <row r="990" spans="1:9" ht="20" customHeight="1">
      <c r="A990" s="18"/>
      <c r="B990" s="35" t="s">
        <v>451</v>
      </c>
      <c r="C990" s="18"/>
      <c r="D990" s="21"/>
      <c r="E990" s="22">
        <f>E989*($K$555/100)</f>
        <v>17.360000000000003</v>
      </c>
      <c r="F990" s="14"/>
      <c r="G990" s="14"/>
      <c r="H990" s="14"/>
      <c r="I990" s="14"/>
    </row>
    <row r="991" spans="1:9" ht="20" customHeight="1">
      <c r="A991" s="18"/>
      <c r="B991" s="24" t="s">
        <v>74</v>
      </c>
      <c r="C991" s="17"/>
      <c r="D991" s="25"/>
      <c r="E991" s="22">
        <f>E989+E990</f>
        <v>190.96000000000004</v>
      </c>
      <c r="F991" s="14"/>
      <c r="G991" s="14"/>
      <c r="H991" s="14"/>
      <c r="I991" s="14"/>
    </row>
    <row r="992" spans="1:9" ht="20" customHeight="1">
      <c r="A992" s="18"/>
      <c r="B992" s="27" t="s">
        <v>61</v>
      </c>
      <c r="C992" s="18"/>
      <c r="D992" s="18"/>
      <c r="E992" s="29">
        <f>E991/10</f>
        <v>19.096000000000004</v>
      </c>
      <c r="F992" s="14"/>
      <c r="G992" s="14"/>
      <c r="H992" s="14"/>
      <c r="I992" s="14"/>
    </row>
    <row r="993" spans="1:9" ht="20" customHeight="1">
      <c r="A993" s="16"/>
      <c r="B993" s="14"/>
      <c r="C993" s="16"/>
      <c r="D993" s="16"/>
      <c r="E993" s="36"/>
      <c r="F993" s="14"/>
      <c r="G993" s="14"/>
      <c r="H993" s="14"/>
      <c r="I993" s="14"/>
    </row>
    <row r="994" spans="1:9" ht="20" customHeight="1">
      <c r="A994" s="16"/>
      <c r="B994" s="14"/>
      <c r="C994" s="16"/>
      <c r="D994" s="16"/>
      <c r="E994" s="36"/>
      <c r="F994" s="14"/>
      <c r="G994" s="14"/>
      <c r="H994" s="14"/>
      <c r="I994" s="14"/>
    </row>
    <row r="995" spans="1:9" ht="20" customHeight="1">
      <c r="A995" s="376" t="s">
        <v>107</v>
      </c>
      <c r="B995" s="377"/>
      <c r="C995" s="377"/>
      <c r="D995" s="377"/>
      <c r="E995" s="378"/>
      <c r="F995" s="14"/>
      <c r="G995" s="14"/>
      <c r="H995" s="14"/>
      <c r="I995" s="14"/>
    </row>
    <row r="996" spans="1:9" ht="20" customHeight="1">
      <c r="A996" s="10" t="s">
        <v>27</v>
      </c>
      <c r="B996" s="10" t="s">
        <v>28</v>
      </c>
      <c r="C996" s="10" t="s">
        <v>29</v>
      </c>
      <c r="D996" s="10" t="s">
        <v>29</v>
      </c>
      <c r="E996" s="15" t="s">
        <v>31</v>
      </c>
      <c r="F996" s="14"/>
      <c r="G996" s="14"/>
      <c r="H996" s="14"/>
      <c r="I996" s="14"/>
    </row>
    <row r="997" spans="1:9" ht="20" customHeight="1">
      <c r="A997" s="3">
        <v>1</v>
      </c>
      <c r="B997" s="19" t="s">
        <v>158</v>
      </c>
      <c r="C997" s="2">
        <v>303</v>
      </c>
      <c r="D997" s="5">
        <f t="shared" ref="D997:D1005" si="114">C997*1000/$C$1006</f>
        <v>303</v>
      </c>
      <c r="E997" s="22">
        <f>+VLOOKUP($B997,'Master Data'!$B$22:$W$110,21,FALSE)*$D997</f>
        <v>52.6008</v>
      </c>
      <c r="F997" s="14"/>
      <c r="G997" s="14"/>
      <c r="H997" s="14"/>
      <c r="I997" s="14"/>
    </row>
    <row r="998" spans="1:9" ht="20" customHeight="1">
      <c r="A998" s="2">
        <v>2</v>
      </c>
      <c r="B998" s="19" t="s">
        <v>158</v>
      </c>
      <c r="C998" s="2">
        <v>303</v>
      </c>
      <c r="D998" s="5">
        <f t="shared" si="114"/>
        <v>303</v>
      </c>
      <c r="E998" s="22">
        <f>+VLOOKUP($B998,'Master Data'!$B$22:$W$110,21,FALSE)*$D998</f>
        <v>52.6008</v>
      </c>
      <c r="F998" s="14"/>
      <c r="G998" s="14"/>
      <c r="H998" s="14"/>
      <c r="I998" s="14"/>
    </row>
    <row r="999" spans="1:9" ht="20" customHeight="1">
      <c r="A999" s="2">
        <v>3</v>
      </c>
      <c r="B999" s="19" t="s">
        <v>158</v>
      </c>
      <c r="C999" s="2">
        <v>92</v>
      </c>
      <c r="D999" s="5">
        <f t="shared" si="114"/>
        <v>92</v>
      </c>
      <c r="E999" s="22">
        <f>+VLOOKUP($B999,'Master Data'!$B$22:$W$110,21,FALSE)*$D999</f>
        <v>15.9712</v>
      </c>
      <c r="F999" s="14"/>
      <c r="G999" s="14"/>
      <c r="H999" s="14"/>
      <c r="I999" s="14"/>
    </row>
    <row r="1000" spans="1:9" ht="20" customHeight="1">
      <c r="A1000" s="3">
        <v>4</v>
      </c>
      <c r="B1000" s="19" t="s">
        <v>158</v>
      </c>
      <c r="C1000" s="2">
        <v>0</v>
      </c>
      <c r="D1000" s="5">
        <f t="shared" si="114"/>
        <v>0</v>
      </c>
      <c r="E1000" s="22">
        <f>+VLOOKUP($B1000,'Master Data'!$B$22:$W$110,21,FALSE)*$D1000</f>
        <v>0</v>
      </c>
      <c r="F1000" s="14"/>
      <c r="G1000" s="14"/>
      <c r="H1000" s="14"/>
      <c r="I1000" s="14"/>
    </row>
    <row r="1001" spans="1:9" ht="20" customHeight="1">
      <c r="A1001" s="2">
        <v>5</v>
      </c>
      <c r="B1001" s="19" t="s">
        <v>158</v>
      </c>
      <c r="C1001" s="2">
        <v>46</v>
      </c>
      <c r="D1001" s="5">
        <f t="shared" si="114"/>
        <v>46</v>
      </c>
      <c r="E1001" s="22">
        <f>+VLOOKUP($B1001,'Master Data'!$B$22:$W$110,21,FALSE)*$D1001</f>
        <v>7.9855999999999998</v>
      </c>
      <c r="F1001" s="14"/>
      <c r="G1001" s="14"/>
      <c r="H1001" s="14"/>
      <c r="I1001" s="14"/>
    </row>
    <row r="1002" spans="1:9" ht="20" customHeight="1">
      <c r="A1002" s="2">
        <v>6</v>
      </c>
      <c r="B1002" s="19" t="s">
        <v>158</v>
      </c>
      <c r="C1002" s="2">
        <v>27</v>
      </c>
      <c r="D1002" s="5">
        <f t="shared" si="114"/>
        <v>27</v>
      </c>
      <c r="E1002" s="22">
        <f>+VLOOKUP($B1002,'Master Data'!$B$22:$W$110,21,FALSE)*$D1002</f>
        <v>4.6871999999999998</v>
      </c>
      <c r="F1002" s="14"/>
      <c r="G1002" s="14"/>
      <c r="H1002" s="14"/>
      <c r="I1002" s="14"/>
    </row>
    <row r="1003" spans="1:9" ht="20" customHeight="1">
      <c r="A1003" s="3">
        <v>7</v>
      </c>
      <c r="B1003" s="19" t="s">
        <v>158</v>
      </c>
      <c r="C1003" s="2">
        <v>82</v>
      </c>
      <c r="D1003" s="5">
        <f t="shared" si="114"/>
        <v>82</v>
      </c>
      <c r="E1003" s="22">
        <f>+VLOOKUP($B1003,'Master Data'!$B$22:$W$110,21,FALSE)*$D1003</f>
        <v>14.235200000000001</v>
      </c>
      <c r="F1003" s="14"/>
      <c r="G1003" s="14"/>
      <c r="H1003" s="14"/>
      <c r="I1003" s="14"/>
    </row>
    <row r="1004" spans="1:9" ht="20" customHeight="1">
      <c r="A1004" s="2">
        <v>9</v>
      </c>
      <c r="B1004" s="19" t="s">
        <v>158</v>
      </c>
      <c r="C1004" s="2">
        <v>137</v>
      </c>
      <c r="D1004" s="5">
        <f t="shared" si="114"/>
        <v>137</v>
      </c>
      <c r="E1004" s="22">
        <f>+VLOOKUP($B1004,'Master Data'!$B$22:$W$110,21,FALSE)*$D1004</f>
        <v>23.783200000000001</v>
      </c>
      <c r="F1004" s="14"/>
      <c r="G1004" s="14"/>
      <c r="H1004" s="14"/>
      <c r="I1004" s="14"/>
    </row>
    <row r="1005" spans="1:9" ht="20" customHeight="1">
      <c r="A1005" s="3">
        <v>10</v>
      </c>
      <c r="B1005" s="19" t="s">
        <v>158</v>
      </c>
      <c r="C1005" s="2">
        <v>10</v>
      </c>
      <c r="D1005" s="5">
        <f t="shared" si="114"/>
        <v>10</v>
      </c>
      <c r="E1005" s="22">
        <f>+VLOOKUP($B1005,'Master Data'!$B$22:$W$110,21,FALSE)*$D1005</f>
        <v>1.736</v>
      </c>
      <c r="F1005" s="14"/>
      <c r="G1005" s="14"/>
      <c r="H1005" s="14"/>
      <c r="I1005" s="14"/>
    </row>
    <row r="1006" spans="1:9" ht="20" customHeight="1">
      <c r="A1006" s="2"/>
      <c r="B1006" s="39" t="s">
        <v>72</v>
      </c>
      <c r="C1006" s="51">
        <f>SUM(C997:C1005)</f>
        <v>1000</v>
      </c>
      <c r="D1006" s="54">
        <f>SUM(D997:D1005)</f>
        <v>1000</v>
      </c>
      <c r="E1006" s="22">
        <f>SUM(E997:E1005)</f>
        <v>173.59999999999997</v>
      </c>
      <c r="F1006" s="14"/>
      <c r="G1006" s="14"/>
      <c r="H1006" s="14"/>
      <c r="I1006" s="14"/>
    </row>
    <row r="1007" spans="1:9" ht="20" customHeight="1">
      <c r="A1007" s="2"/>
      <c r="B1007" s="35" t="s">
        <v>451</v>
      </c>
      <c r="C1007" s="18"/>
      <c r="D1007" s="21"/>
      <c r="E1007" s="22">
        <f>E1006*($K$555/100)</f>
        <v>17.359999999999996</v>
      </c>
      <c r="F1007" s="14"/>
      <c r="G1007" s="14"/>
      <c r="H1007" s="14"/>
      <c r="I1007" s="14"/>
    </row>
    <row r="1008" spans="1:9" ht="20" customHeight="1">
      <c r="A1008" s="2"/>
      <c r="B1008" s="24" t="s">
        <v>74</v>
      </c>
      <c r="C1008" s="17"/>
      <c r="D1008" s="25"/>
      <c r="E1008" s="22">
        <f>E1006+E1007</f>
        <v>190.95999999999995</v>
      </c>
      <c r="F1008" s="14"/>
      <c r="G1008" s="14"/>
      <c r="H1008" s="14"/>
      <c r="I1008" s="14"/>
    </row>
    <row r="1009" spans="1:9" ht="20" customHeight="1">
      <c r="A1009" s="2"/>
      <c r="B1009" s="27" t="s">
        <v>61</v>
      </c>
      <c r="C1009" s="18"/>
      <c r="D1009" s="18"/>
      <c r="E1009" s="29">
        <f>E1008/10</f>
        <v>19.095999999999997</v>
      </c>
      <c r="F1009" s="14"/>
      <c r="G1009" s="14"/>
      <c r="H1009" s="14"/>
      <c r="I1009" s="14"/>
    </row>
    <row r="1010" spans="1:9" ht="20" customHeight="1">
      <c r="A1010" s="16"/>
      <c r="B1010" s="14"/>
      <c r="C1010" s="16"/>
      <c r="D1010" s="16"/>
      <c r="E1010" s="36"/>
      <c r="F1010" s="14"/>
      <c r="G1010" s="14"/>
      <c r="H1010" s="14"/>
      <c r="I1010" s="14"/>
    </row>
    <row r="1011" spans="1:9" ht="20" customHeight="1">
      <c r="A1011" s="16"/>
      <c r="B1011" s="14"/>
      <c r="C1011" s="16"/>
      <c r="D1011" s="16"/>
      <c r="E1011" s="36"/>
      <c r="F1011" s="14"/>
      <c r="G1011" s="14"/>
      <c r="H1011" s="14"/>
      <c r="I1011" s="14"/>
    </row>
    <row r="1012" spans="1:9" ht="20" customHeight="1">
      <c r="A1012" s="376" t="s">
        <v>108</v>
      </c>
      <c r="B1012" s="377"/>
      <c r="C1012" s="377"/>
      <c r="D1012" s="377"/>
      <c r="E1012" s="378"/>
      <c r="F1012" s="14"/>
      <c r="G1012" s="14"/>
      <c r="H1012" s="14"/>
      <c r="I1012" s="14"/>
    </row>
    <row r="1013" spans="1:9" ht="20" customHeight="1">
      <c r="A1013" s="10" t="s">
        <v>27</v>
      </c>
      <c r="B1013" s="10" t="s">
        <v>28</v>
      </c>
      <c r="C1013" s="10" t="s">
        <v>29</v>
      </c>
      <c r="D1013" s="10" t="s">
        <v>29</v>
      </c>
      <c r="E1013" s="15" t="s">
        <v>31</v>
      </c>
      <c r="F1013" s="14"/>
      <c r="G1013" s="14"/>
      <c r="H1013" s="14"/>
      <c r="I1013" s="14"/>
    </row>
    <row r="1014" spans="1:9" ht="20" customHeight="1">
      <c r="A1014" s="3">
        <v>1</v>
      </c>
      <c r="B1014" s="19" t="s">
        <v>158</v>
      </c>
      <c r="C1014" s="2">
        <v>303</v>
      </c>
      <c r="D1014" s="5">
        <f t="shared" ref="D1014:D1022" si="115">C1014*1000/$C$1023</f>
        <v>303</v>
      </c>
      <c r="E1014" s="22">
        <f>+VLOOKUP($B1014,'Master Data'!$B$22:$W$110,21,FALSE)*$D1014</f>
        <v>52.6008</v>
      </c>
      <c r="F1014" s="14"/>
      <c r="G1014" s="14"/>
      <c r="H1014" s="14"/>
      <c r="I1014" s="14"/>
    </row>
    <row r="1015" spans="1:9" ht="20" customHeight="1">
      <c r="A1015" s="2">
        <v>2</v>
      </c>
      <c r="B1015" s="19" t="s">
        <v>158</v>
      </c>
      <c r="C1015" s="2">
        <v>303</v>
      </c>
      <c r="D1015" s="5">
        <f t="shared" si="115"/>
        <v>303</v>
      </c>
      <c r="E1015" s="22">
        <f>+VLOOKUP($B1015,'Master Data'!$B$22:$W$110,21,FALSE)*$D1015</f>
        <v>52.6008</v>
      </c>
      <c r="F1015" s="14"/>
      <c r="G1015" s="14"/>
      <c r="H1015" s="14"/>
      <c r="I1015" s="14"/>
    </row>
    <row r="1016" spans="1:9" ht="20" customHeight="1">
      <c r="A1016" s="2">
        <v>3</v>
      </c>
      <c r="B1016" s="19" t="s">
        <v>158</v>
      </c>
      <c r="C1016" s="2">
        <v>92</v>
      </c>
      <c r="D1016" s="5">
        <f t="shared" si="115"/>
        <v>92</v>
      </c>
      <c r="E1016" s="22">
        <f>+VLOOKUP($B1016,'Master Data'!$B$22:$W$110,21,FALSE)*$D1016</f>
        <v>15.9712</v>
      </c>
      <c r="F1016" s="14"/>
      <c r="G1016" s="14"/>
      <c r="H1016" s="14"/>
      <c r="I1016" s="14"/>
    </row>
    <row r="1017" spans="1:9" ht="20" customHeight="1">
      <c r="A1017" s="3">
        <v>4</v>
      </c>
      <c r="B1017" s="19" t="s">
        <v>158</v>
      </c>
      <c r="C1017" s="2">
        <v>0</v>
      </c>
      <c r="D1017" s="5">
        <f t="shared" si="115"/>
        <v>0</v>
      </c>
      <c r="E1017" s="22">
        <f>+VLOOKUP($B1017,'Master Data'!$B$22:$W$110,21,FALSE)*$D1017</f>
        <v>0</v>
      </c>
      <c r="F1017" s="14"/>
      <c r="G1017" s="14"/>
      <c r="H1017" s="14"/>
      <c r="I1017" s="14"/>
    </row>
    <row r="1018" spans="1:9" ht="20" customHeight="1">
      <c r="A1018" s="2">
        <v>5</v>
      </c>
      <c r="B1018" s="19" t="s">
        <v>158</v>
      </c>
      <c r="C1018" s="2">
        <v>46</v>
      </c>
      <c r="D1018" s="5">
        <f t="shared" si="115"/>
        <v>46</v>
      </c>
      <c r="E1018" s="22">
        <f>+VLOOKUP($B1018,'Master Data'!$B$22:$W$110,21,FALSE)*$D1018</f>
        <v>7.9855999999999998</v>
      </c>
      <c r="F1018" s="14"/>
      <c r="G1018" s="14"/>
      <c r="H1018" s="14"/>
      <c r="I1018" s="14"/>
    </row>
    <row r="1019" spans="1:9" ht="20" customHeight="1">
      <c r="A1019" s="2">
        <v>6</v>
      </c>
      <c r="B1019" s="19" t="s">
        <v>158</v>
      </c>
      <c r="C1019" s="2">
        <v>27</v>
      </c>
      <c r="D1019" s="5">
        <f t="shared" si="115"/>
        <v>27</v>
      </c>
      <c r="E1019" s="22">
        <f>+VLOOKUP($B1019,'Master Data'!$B$22:$W$110,21,FALSE)*$D1019</f>
        <v>4.6871999999999998</v>
      </c>
      <c r="F1019" s="14"/>
      <c r="G1019" s="14"/>
      <c r="H1019" s="14"/>
      <c r="I1019" s="14"/>
    </row>
    <row r="1020" spans="1:9" ht="20" customHeight="1">
      <c r="A1020" s="3">
        <v>7</v>
      </c>
      <c r="B1020" s="19" t="s">
        <v>158</v>
      </c>
      <c r="C1020" s="2">
        <v>82</v>
      </c>
      <c r="D1020" s="5">
        <f t="shared" si="115"/>
        <v>82</v>
      </c>
      <c r="E1020" s="22">
        <f>+VLOOKUP($B1020,'Master Data'!$B$22:$W$110,21,FALSE)*$D1020</f>
        <v>14.235200000000001</v>
      </c>
      <c r="F1020" s="14"/>
      <c r="G1020" s="14"/>
      <c r="H1020" s="14"/>
      <c r="I1020" s="14"/>
    </row>
    <row r="1021" spans="1:9" ht="20" customHeight="1">
      <c r="A1021" s="2">
        <v>9</v>
      </c>
      <c r="B1021" s="19" t="s">
        <v>158</v>
      </c>
      <c r="C1021" s="2">
        <v>137</v>
      </c>
      <c r="D1021" s="5">
        <f t="shared" si="115"/>
        <v>137</v>
      </c>
      <c r="E1021" s="22">
        <f>+VLOOKUP($B1021,'Master Data'!$B$22:$W$110,21,FALSE)*$D1021</f>
        <v>23.783200000000001</v>
      </c>
      <c r="F1021" s="14"/>
      <c r="G1021" s="14"/>
      <c r="H1021" s="14"/>
      <c r="I1021" s="14"/>
    </row>
    <row r="1022" spans="1:9" ht="20" customHeight="1">
      <c r="A1022" s="3">
        <v>10</v>
      </c>
      <c r="B1022" s="19" t="s">
        <v>158</v>
      </c>
      <c r="C1022" s="2">
        <v>10</v>
      </c>
      <c r="D1022" s="5">
        <f t="shared" si="115"/>
        <v>10</v>
      </c>
      <c r="E1022" s="22">
        <f>+VLOOKUP($B1022,'Master Data'!$B$22:$W$110,21,FALSE)*$D1022</f>
        <v>1.736</v>
      </c>
      <c r="F1022" s="14"/>
      <c r="G1022" s="14"/>
      <c r="H1022" s="14"/>
      <c r="I1022" s="14"/>
    </row>
    <row r="1023" spans="1:9" ht="20" customHeight="1">
      <c r="A1023" s="2"/>
      <c r="B1023" s="39" t="s">
        <v>72</v>
      </c>
      <c r="C1023" s="51">
        <f>SUM(C1014:C1022)</f>
        <v>1000</v>
      </c>
      <c r="D1023" s="54">
        <f>SUM(D1014:D1022)</f>
        <v>1000</v>
      </c>
      <c r="E1023" s="22">
        <f>SUM(E1014:E1022)</f>
        <v>173.59999999999997</v>
      </c>
      <c r="F1023" s="14"/>
      <c r="G1023" s="14"/>
      <c r="H1023" s="14"/>
      <c r="I1023" s="14"/>
    </row>
    <row r="1024" spans="1:9" ht="20" customHeight="1">
      <c r="A1024" s="2"/>
      <c r="B1024" s="35" t="s">
        <v>451</v>
      </c>
      <c r="C1024" s="18"/>
      <c r="D1024" s="21"/>
      <c r="E1024" s="22">
        <f>E1023*($K$555/100)</f>
        <v>17.359999999999996</v>
      </c>
      <c r="F1024" s="14"/>
      <c r="G1024" s="14"/>
      <c r="H1024" s="14"/>
      <c r="I1024" s="14"/>
    </row>
    <row r="1025" spans="1:9" ht="20" customHeight="1">
      <c r="A1025" s="2"/>
      <c r="B1025" s="24" t="s">
        <v>74</v>
      </c>
      <c r="C1025" s="17"/>
      <c r="D1025" s="25"/>
      <c r="E1025" s="22">
        <f>E1023+E1024</f>
        <v>190.95999999999995</v>
      </c>
      <c r="F1025" s="14"/>
      <c r="G1025" s="14"/>
      <c r="H1025" s="14"/>
      <c r="I1025" s="14"/>
    </row>
    <row r="1026" spans="1:9" ht="20" customHeight="1">
      <c r="A1026" s="2"/>
      <c r="B1026" s="27" t="s">
        <v>61</v>
      </c>
      <c r="C1026" s="18"/>
      <c r="D1026" s="18"/>
      <c r="E1026" s="29">
        <f>E1025/10</f>
        <v>19.095999999999997</v>
      </c>
      <c r="F1026" s="14"/>
      <c r="G1026" s="14"/>
      <c r="H1026" s="14"/>
      <c r="I1026" s="14"/>
    </row>
    <row r="1027" spans="1:9" ht="20" customHeight="1">
      <c r="A1027" s="1"/>
      <c r="B1027" s="55"/>
      <c r="C1027" s="16"/>
      <c r="D1027" s="16"/>
      <c r="E1027" s="56"/>
      <c r="F1027" s="14"/>
      <c r="G1027" s="14"/>
      <c r="H1027" s="14"/>
      <c r="I1027" s="14"/>
    </row>
    <row r="1028" spans="1:9" ht="20" customHeight="1">
      <c r="A1028" s="16"/>
      <c r="B1028" s="14"/>
      <c r="C1028" s="16"/>
      <c r="D1028" s="16"/>
      <c r="E1028" s="36"/>
      <c r="F1028" s="14"/>
      <c r="G1028" s="14"/>
      <c r="H1028" s="14"/>
      <c r="I1028" s="14"/>
    </row>
    <row r="1029" spans="1:9" ht="20" customHeight="1">
      <c r="A1029" s="376" t="s">
        <v>109</v>
      </c>
      <c r="B1029" s="377"/>
      <c r="C1029" s="377"/>
      <c r="D1029" s="377"/>
      <c r="E1029" s="378"/>
      <c r="F1029" s="14"/>
      <c r="G1029" s="14"/>
      <c r="H1029" s="14"/>
      <c r="I1029" s="14"/>
    </row>
    <row r="1030" spans="1:9" ht="20" customHeight="1">
      <c r="A1030" s="10" t="s">
        <v>27</v>
      </c>
      <c r="B1030" s="10" t="s">
        <v>28</v>
      </c>
      <c r="C1030" s="10" t="s">
        <v>29</v>
      </c>
      <c r="D1030" s="10" t="s">
        <v>29</v>
      </c>
      <c r="E1030" s="15" t="s">
        <v>31</v>
      </c>
      <c r="F1030" s="14"/>
      <c r="G1030" s="14"/>
      <c r="H1030" s="14"/>
      <c r="I1030" s="14"/>
    </row>
    <row r="1031" spans="1:9" ht="20" customHeight="1">
      <c r="A1031" s="3">
        <v>1</v>
      </c>
      <c r="B1031" s="19" t="s">
        <v>158</v>
      </c>
      <c r="C1031" s="3">
        <v>8</v>
      </c>
      <c r="D1031" s="5">
        <f t="shared" ref="D1031:D1041" si="116">C1031*1000/$C$1042</f>
        <v>5.1150895140664963</v>
      </c>
      <c r="E1031" s="22">
        <f>+VLOOKUP($B1031,'Master Data'!$B$22:$W$110,21,FALSE)*$D1031</f>
        <v>0.88797953964194376</v>
      </c>
      <c r="F1031" s="14"/>
      <c r="G1031" s="14"/>
      <c r="H1031" s="14"/>
      <c r="I1031" s="14"/>
    </row>
    <row r="1032" spans="1:9" ht="20" customHeight="1">
      <c r="A1032" s="3">
        <v>2</v>
      </c>
      <c r="B1032" s="19" t="s">
        <v>158</v>
      </c>
      <c r="C1032" s="2">
        <v>138</v>
      </c>
      <c r="D1032" s="5">
        <f t="shared" si="116"/>
        <v>88.235294117647058</v>
      </c>
      <c r="E1032" s="22">
        <f>+VLOOKUP($B1032,'Master Data'!$B$22:$W$110,21,FALSE)*$D1032</f>
        <v>15.31764705882353</v>
      </c>
      <c r="F1032" s="14"/>
      <c r="G1032" s="14"/>
      <c r="H1032" s="14"/>
      <c r="I1032" s="14"/>
    </row>
    <row r="1033" spans="1:9" ht="20" customHeight="1">
      <c r="A1033" s="2">
        <v>3</v>
      </c>
      <c r="B1033" s="19" t="s">
        <v>158</v>
      </c>
      <c r="C1033" s="2">
        <v>172</v>
      </c>
      <c r="D1033" s="5">
        <f t="shared" si="116"/>
        <v>109.97442455242967</v>
      </c>
      <c r="E1033" s="22">
        <f>+VLOOKUP($B1033,'Master Data'!$B$22:$W$110,21,FALSE)*$D1033</f>
        <v>19.091560102301791</v>
      </c>
      <c r="F1033" s="14"/>
      <c r="G1033" s="14"/>
      <c r="H1033" s="14"/>
      <c r="I1033" s="14"/>
    </row>
    <row r="1034" spans="1:9" ht="20" customHeight="1">
      <c r="A1034" s="3">
        <v>4</v>
      </c>
      <c r="B1034" s="19" t="s">
        <v>158</v>
      </c>
      <c r="C1034" s="2">
        <v>70</v>
      </c>
      <c r="D1034" s="5">
        <f t="shared" si="116"/>
        <v>44.757033248081839</v>
      </c>
      <c r="E1034" s="22">
        <f>+VLOOKUP($B1034,'Master Data'!$B$22:$W$110,21,FALSE)*$D1034</f>
        <v>7.7698209718670075</v>
      </c>
      <c r="F1034" s="14"/>
      <c r="G1034" s="14"/>
      <c r="H1034" s="14"/>
      <c r="I1034" s="14"/>
    </row>
    <row r="1035" spans="1:9" ht="20" customHeight="1">
      <c r="A1035" s="3">
        <v>5</v>
      </c>
      <c r="B1035" s="19" t="s">
        <v>158</v>
      </c>
      <c r="C1035" s="2">
        <v>34</v>
      </c>
      <c r="D1035" s="5">
        <f t="shared" si="116"/>
        <v>21.739130434782609</v>
      </c>
      <c r="E1035" s="22">
        <f>+VLOOKUP($B1035,'Master Data'!$B$22:$W$110,21,FALSE)*$D1035</f>
        <v>3.7739130434782613</v>
      </c>
      <c r="F1035" s="14"/>
      <c r="G1035" s="14"/>
      <c r="H1035" s="14"/>
      <c r="I1035" s="14"/>
    </row>
    <row r="1036" spans="1:9" ht="20" customHeight="1">
      <c r="A1036" s="2">
        <v>6</v>
      </c>
      <c r="B1036" s="19" t="s">
        <v>158</v>
      </c>
      <c r="C1036" s="2">
        <v>24</v>
      </c>
      <c r="D1036" s="5">
        <f t="shared" si="116"/>
        <v>15.345268542199488</v>
      </c>
      <c r="E1036" s="22">
        <f>+VLOOKUP($B1036,'Master Data'!$B$22:$W$110,21,FALSE)*$D1036</f>
        <v>2.6639386189258309</v>
      </c>
      <c r="F1036" s="14"/>
      <c r="G1036" s="14"/>
      <c r="H1036" s="14"/>
      <c r="I1036" s="14"/>
    </row>
    <row r="1037" spans="1:9" ht="20" customHeight="1">
      <c r="A1037" s="3">
        <v>7</v>
      </c>
      <c r="B1037" s="19" t="s">
        <v>158</v>
      </c>
      <c r="C1037" s="2">
        <v>16</v>
      </c>
      <c r="D1037" s="5">
        <f t="shared" si="116"/>
        <v>10.230179028132993</v>
      </c>
      <c r="E1037" s="22">
        <f>+VLOOKUP($B1037,'Master Data'!$B$22:$W$110,21,FALSE)*$D1037</f>
        <v>1.7759590792838875</v>
      </c>
      <c r="F1037" s="14"/>
      <c r="G1037" s="14"/>
      <c r="H1037" s="14"/>
      <c r="I1037" s="14"/>
    </row>
    <row r="1038" spans="1:9" ht="20" customHeight="1">
      <c r="A1038" s="3">
        <v>8</v>
      </c>
      <c r="B1038" s="19" t="s">
        <v>158</v>
      </c>
      <c r="C1038" s="2">
        <v>40</v>
      </c>
      <c r="D1038" s="5">
        <f t="shared" si="116"/>
        <v>25.575447570332482</v>
      </c>
      <c r="E1038" s="22">
        <f>+VLOOKUP($B1038,'Master Data'!$B$22:$W$110,21,FALSE)*$D1038</f>
        <v>4.4398976982097187</v>
      </c>
      <c r="F1038" s="14"/>
      <c r="G1038" s="14"/>
      <c r="H1038" s="14"/>
      <c r="I1038" s="14"/>
    </row>
    <row r="1039" spans="1:9" ht="20" customHeight="1">
      <c r="A1039" s="2">
        <v>9</v>
      </c>
      <c r="B1039" s="19" t="s">
        <v>158</v>
      </c>
      <c r="C1039" s="2">
        <v>277</v>
      </c>
      <c r="D1039" s="5">
        <f t="shared" si="116"/>
        <v>177.10997442455243</v>
      </c>
      <c r="E1039" s="22">
        <f>+VLOOKUP($B1039,'Master Data'!$B$22:$W$110,21,FALSE)*$D1039</f>
        <v>30.746291560102303</v>
      </c>
      <c r="F1039" s="14"/>
      <c r="G1039" s="14"/>
      <c r="H1039" s="14"/>
      <c r="I1039" s="14"/>
    </row>
    <row r="1040" spans="1:9" ht="20" customHeight="1">
      <c r="A1040" s="3">
        <v>10</v>
      </c>
      <c r="B1040" s="19" t="s">
        <v>158</v>
      </c>
      <c r="C1040" s="2">
        <v>76</v>
      </c>
      <c r="D1040" s="5">
        <f t="shared" si="116"/>
        <v>48.593350383631716</v>
      </c>
      <c r="E1040" s="22">
        <f>+VLOOKUP($B1040,'Master Data'!$B$22:$W$110,21,FALSE)*$D1040</f>
        <v>8.4358056265984658</v>
      </c>
      <c r="F1040" s="14"/>
      <c r="G1040" s="14"/>
      <c r="H1040" s="14"/>
      <c r="I1040" s="14"/>
    </row>
    <row r="1041" spans="1:9" ht="20" customHeight="1">
      <c r="A1041" s="13"/>
      <c r="B1041" s="12" t="s">
        <v>110</v>
      </c>
      <c r="C1041" s="13">
        <f>SUM(C1031:C1040)</f>
        <v>855</v>
      </c>
      <c r="D1041" s="5">
        <f t="shared" si="116"/>
        <v>546.67519181585681</v>
      </c>
      <c r="E1041" s="22"/>
      <c r="F1041" s="14"/>
      <c r="G1041" s="14"/>
      <c r="H1041" s="14"/>
      <c r="I1041" s="14"/>
    </row>
    <row r="1042" spans="1:9" ht="20" customHeight="1">
      <c r="A1042" s="2"/>
      <c r="B1042" s="39" t="s">
        <v>72</v>
      </c>
      <c r="C1042" s="51">
        <f>SUM(C1033:C1041)</f>
        <v>1564</v>
      </c>
      <c r="D1042" s="54">
        <f>SUM(D1033:D1041)</f>
        <v>1000</v>
      </c>
      <c r="E1042" s="22">
        <f>SUM(E1031:E1040)</f>
        <v>94.902813299232747</v>
      </c>
      <c r="F1042" s="14"/>
      <c r="G1042" s="14"/>
      <c r="H1042" s="14"/>
      <c r="I1042" s="14"/>
    </row>
    <row r="1043" spans="1:9" ht="20" customHeight="1">
      <c r="A1043" s="2"/>
      <c r="B1043" s="35" t="s">
        <v>451</v>
      </c>
      <c r="C1043" s="18"/>
      <c r="D1043" s="21"/>
      <c r="E1043" s="22">
        <f>E1042*($K$555/100)</f>
        <v>9.4902813299232758</v>
      </c>
      <c r="F1043" s="14"/>
      <c r="G1043" s="14"/>
      <c r="H1043" s="14"/>
      <c r="I1043" s="14"/>
    </row>
    <row r="1044" spans="1:9" ht="20" customHeight="1">
      <c r="A1044" s="2"/>
      <c r="B1044" s="24" t="s">
        <v>74</v>
      </c>
      <c r="C1044" s="17"/>
      <c r="D1044" s="25"/>
      <c r="E1044" s="22">
        <f>E1042+E1043</f>
        <v>104.39309462915602</v>
      </c>
      <c r="F1044" s="14"/>
      <c r="G1044" s="14"/>
      <c r="H1044" s="14"/>
      <c r="I1044" s="14"/>
    </row>
    <row r="1045" spans="1:9" ht="20" customHeight="1">
      <c r="A1045" s="2"/>
      <c r="B1045" s="27" t="s">
        <v>61</v>
      </c>
      <c r="C1045" s="18"/>
      <c r="D1045" s="18"/>
      <c r="E1045" s="29">
        <f>E1044/10</f>
        <v>10.439309462915602</v>
      </c>
      <c r="F1045" s="14"/>
      <c r="G1045" s="14"/>
      <c r="H1045" s="14"/>
      <c r="I1045" s="14"/>
    </row>
    <row r="1046" spans="1:9" ht="20" customHeight="1">
      <c r="A1046" s="16"/>
      <c r="B1046" s="14"/>
      <c r="C1046" s="16"/>
      <c r="D1046" s="16"/>
      <c r="E1046" s="36"/>
      <c r="F1046" s="14"/>
      <c r="G1046" s="14"/>
      <c r="H1046" s="14"/>
      <c r="I1046" s="14"/>
    </row>
    <row r="1047" spans="1:9" ht="20" customHeight="1">
      <c r="A1047" s="376" t="s">
        <v>18</v>
      </c>
      <c r="B1047" s="377"/>
      <c r="C1047" s="377"/>
      <c r="D1047" s="377"/>
      <c r="E1047" s="378"/>
      <c r="F1047" s="14"/>
      <c r="G1047" s="14"/>
      <c r="H1047" s="14"/>
      <c r="I1047" s="14"/>
    </row>
    <row r="1048" spans="1:9" ht="20" customHeight="1">
      <c r="A1048" s="10" t="s">
        <v>27</v>
      </c>
      <c r="B1048" s="10" t="s">
        <v>28</v>
      </c>
      <c r="C1048" s="10" t="s">
        <v>29</v>
      </c>
      <c r="D1048" s="10" t="s">
        <v>29</v>
      </c>
      <c r="E1048" s="15" t="s">
        <v>31</v>
      </c>
      <c r="F1048" s="14"/>
      <c r="G1048" s="14"/>
      <c r="H1048" s="14"/>
      <c r="I1048" s="14"/>
    </row>
    <row r="1049" spans="1:9" ht="20" customHeight="1">
      <c r="A1049" s="18">
        <v>1</v>
      </c>
      <c r="B1049" s="19" t="s">
        <v>113</v>
      </c>
      <c r="C1049" s="18">
        <v>12</v>
      </c>
      <c r="D1049" s="21">
        <v>60.913705583756347</v>
      </c>
      <c r="E1049" s="22">
        <f>+VLOOKUP($B1049,'Master Data'!$B$22:$W$110,21,FALSE)*$D1049</f>
        <v>27.654822335025383</v>
      </c>
      <c r="F1049" s="14"/>
      <c r="G1049" s="14"/>
      <c r="H1049" s="14"/>
      <c r="I1049" s="14"/>
    </row>
    <row r="1050" spans="1:9" ht="20" customHeight="1">
      <c r="A1050" s="18">
        <v>2</v>
      </c>
      <c r="B1050" s="19" t="s">
        <v>114</v>
      </c>
      <c r="C1050" s="18">
        <v>3</v>
      </c>
      <c r="D1050" s="21">
        <v>15.228426395939087</v>
      </c>
      <c r="E1050" s="22">
        <f>+VLOOKUP($B1050,'Master Data'!$B$22:$W$110,21,FALSE)*$D1050</f>
        <v>4.3248730964467006</v>
      </c>
      <c r="F1050" s="14"/>
      <c r="G1050" s="14"/>
      <c r="H1050" s="14"/>
      <c r="I1050" s="14"/>
    </row>
    <row r="1051" spans="1:9" ht="20" customHeight="1">
      <c r="A1051" s="18">
        <v>3</v>
      </c>
      <c r="B1051" s="19" t="s">
        <v>0</v>
      </c>
      <c r="C1051" s="18">
        <v>15</v>
      </c>
      <c r="D1051" s="21">
        <v>76.142131979695435</v>
      </c>
      <c r="E1051" s="22">
        <f>+VLOOKUP($B1051,'Master Data'!$B$22:$W$110,21,FALSE)*$D1051</f>
        <v>67.081218274111677</v>
      </c>
      <c r="F1051" s="14"/>
      <c r="G1051" s="14"/>
      <c r="H1051" s="14"/>
      <c r="I1051" s="14"/>
    </row>
    <row r="1052" spans="1:9" ht="20" customHeight="1">
      <c r="A1052" s="18">
        <v>4</v>
      </c>
      <c r="B1052" s="19" t="s">
        <v>122</v>
      </c>
      <c r="C1052" s="18">
        <v>15</v>
      </c>
      <c r="D1052" s="21">
        <v>76.142131979695435</v>
      </c>
      <c r="E1052" s="22">
        <f>+VLOOKUP($B1052,'Master Data'!$B$22:$W$110,21,FALSE)*$D1052</f>
        <v>5.2356780275562</v>
      </c>
      <c r="F1052" s="14"/>
      <c r="G1052" s="14"/>
      <c r="H1052" s="14"/>
      <c r="I1052" s="14"/>
    </row>
    <row r="1053" spans="1:9" ht="20" customHeight="1">
      <c r="A1053" s="18">
        <v>5</v>
      </c>
      <c r="B1053" s="19" t="s">
        <v>544</v>
      </c>
      <c r="C1053" s="18">
        <v>3</v>
      </c>
      <c r="D1053" s="21">
        <v>15.228426395939087</v>
      </c>
      <c r="E1053" s="22">
        <f>+VLOOKUP($B1053,'Master Data'!$B$22:$W$110,21,FALSE)*$D1053</f>
        <v>47.832487309644669</v>
      </c>
      <c r="F1053" s="14"/>
      <c r="G1053" s="14"/>
      <c r="H1053" s="14"/>
      <c r="I1053" s="14"/>
    </row>
    <row r="1054" spans="1:9" ht="20" customHeight="1">
      <c r="A1054" s="18">
        <v>6</v>
      </c>
      <c r="B1054" s="19" t="s">
        <v>1</v>
      </c>
      <c r="C1054" s="18">
        <v>20</v>
      </c>
      <c r="D1054" s="21">
        <v>101.5228426395939</v>
      </c>
      <c r="E1054" s="22">
        <f>+VLOOKUP($B1054,'Master Data'!$B$22:$W$110,21,FALSE)*$D1054</f>
        <v>120.91370558375634</v>
      </c>
      <c r="F1054" s="14"/>
      <c r="G1054" s="14"/>
      <c r="H1054" s="14"/>
      <c r="I1054" s="14"/>
    </row>
    <row r="1055" spans="1:9" ht="20" customHeight="1">
      <c r="A1055" s="18">
        <v>7</v>
      </c>
      <c r="B1055" s="19" t="s">
        <v>2</v>
      </c>
      <c r="C1055" s="18">
        <v>20</v>
      </c>
      <c r="D1055" s="21">
        <v>101.5228426395939</v>
      </c>
      <c r="E1055" s="22">
        <f>+VLOOKUP($B1055,'Master Data'!$B$22:$W$110,21,FALSE)*$D1055</f>
        <v>19.492385786802028</v>
      </c>
      <c r="F1055" s="14"/>
      <c r="G1055" s="14"/>
      <c r="H1055" s="14"/>
      <c r="I1055" s="14"/>
    </row>
    <row r="1056" spans="1:9" ht="20" customHeight="1">
      <c r="A1056" s="18">
        <v>8</v>
      </c>
      <c r="B1056" s="19" t="s">
        <v>3</v>
      </c>
      <c r="C1056" s="18">
        <v>5</v>
      </c>
      <c r="D1056" s="21">
        <v>25.380710659898476</v>
      </c>
      <c r="E1056" s="22">
        <f>+VLOOKUP($B1056,'Master Data'!$B$22:$W$110,21,FALSE)*$D1056</f>
        <v>7.7157360406091362</v>
      </c>
      <c r="F1056" s="14"/>
      <c r="G1056" s="14"/>
      <c r="H1056" s="14"/>
      <c r="I1056" s="14"/>
    </row>
    <row r="1057" spans="1:9" ht="20" customHeight="1">
      <c r="A1057" s="18">
        <v>9</v>
      </c>
      <c r="B1057" s="19" t="s">
        <v>120</v>
      </c>
      <c r="C1057" s="18">
        <v>10</v>
      </c>
      <c r="D1057" s="21">
        <v>50.761421319796952</v>
      </c>
      <c r="E1057" s="22">
        <f>+VLOOKUP($B1057,'Master Data'!$B$22:$W$110,21,FALSE)*$D1057</f>
        <v>11.370558375634518</v>
      </c>
      <c r="F1057" s="14"/>
      <c r="G1057" s="14"/>
      <c r="H1057" s="14"/>
      <c r="I1057" s="14"/>
    </row>
    <row r="1058" spans="1:9" ht="20" customHeight="1">
      <c r="A1058" s="18">
        <v>10</v>
      </c>
      <c r="B1058" s="19" t="s">
        <v>68</v>
      </c>
      <c r="C1058" s="18">
        <v>30</v>
      </c>
      <c r="D1058" s="21">
        <v>152.28426395939087</v>
      </c>
      <c r="E1058" s="22">
        <f>+VLOOKUP($B1058,'Master Data'!$B$22:$W$110,21,FALSE)*$D1058</f>
        <v>69.137055837563452</v>
      </c>
      <c r="F1058" s="14"/>
      <c r="G1058" s="14"/>
      <c r="H1058" s="14"/>
      <c r="I1058" s="14"/>
    </row>
    <row r="1059" spans="1:9" ht="20" customHeight="1">
      <c r="A1059" s="18">
        <v>11</v>
      </c>
      <c r="B1059" s="235" t="s">
        <v>435</v>
      </c>
      <c r="C1059" s="18">
        <v>6</v>
      </c>
      <c r="D1059" s="21">
        <v>30.456852791878173</v>
      </c>
      <c r="E1059" s="22">
        <f>+VLOOKUP($B1059,'Master Data'!$B$22:$W$110,21,FALSE)*$D1059</f>
        <v>10.477157360406091</v>
      </c>
      <c r="F1059" s="14"/>
      <c r="G1059" s="14"/>
      <c r="H1059" s="14"/>
      <c r="I1059" s="14"/>
    </row>
    <row r="1060" spans="1:9" ht="20" customHeight="1">
      <c r="A1060" s="18">
        <v>12</v>
      </c>
      <c r="B1060" s="19" t="s">
        <v>65</v>
      </c>
      <c r="C1060" s="18">
        <v>15</v>
      </c>
      <c r="D1060" s="21">
        <v>76.142131979695435</v>
      </c>
      <c r="E1060" s="22">
        <f>+VLOOKUP($B1060,'Master Data'!$B$22:$W$110,21,FALSE)*$D1060</f>
        <v>9.0609137055837561</v>
      </c>
      <c r="F1060" s="14"/>
      <c r="G1060" s="14"/>
      <c r="H1060" s="14"/>
      <c r="I1060" s="14"/>
    </row>
    <row r="1061" spans="1:9" ht="20" customHeight="1">
      <c r="A1061" s="18">
        <v>13</v>
      </c>
      <c r="B1061" s="19" t="s">
        <v>60</v>
      </c>
      <c r="C1061" s="18">
        <v>12</v>
      </c>
      <c r="D1061" s="21">
        <v>60.913705583756347</v>
      </c>
      <c r="E1061" s="22">
        <f>+VLOOKUP($B1061,'Master Data'!$B$22:$W$110,21,FALSE)*$D1061</f>
        <v>20.954314720812182</v>
      </c>
      <c r="F1061" s="14"/>
      <c r="G1061" s="14"/>
      <c r="H1061" s="14"/>
      <c r="I1061" s="14"/>
    </row>
    <row r="1062" spans="1:9" ht="20" customHeight="1">
      <c r="A1062" s="18">
        <v>14</v>
      </c>
      <c r="B1062" s="19" t="s">
        <v>12</v>
      </c>
      <c r="C1062" s="18">
        <v>3</v>
      </c>
      <c r="D1062" s="21">
        <v>15.228426395939087</v>
      </c>
      <c r="E1062" s="22">
        <f>+VLOOKUP($B1062,'Master Data'!$B$22:$W$110,21,FALSE)*$D1062</f>
        <v>14.32994923857868</v>
      </c>
      <c r="F1062" s="14"/>
      <c r="G1062" s="14"/>
      <c r="H1062" s="14"/>
      <c r="I1062" s="14"/>
    </row>
    <row r="1063" spans="1:9" ht="20" customHeight="1">
      <c r="A1063" s="18">
        <v>15</v>
      </c>
      <c r="B1063" s="19" t="s">
        <v>308</v>
      </c>
      <c r="C1063" s="18">
        <v>8</v>
      </c>
      <c r="D1063" s="21">
        <v>40.609137055837564</v>
      </c>
      <c r="E1063" s="22">
        <f>+VLOOKUP($B1063,'Master Data'!$B$22:$W$110,21,FALSE)*$D1063</f>
        <v>17.445685279187821</v>
      </c>
      <c r="F1063" s="14"/>
      <c r="G1063" s="14"/>
      <c r="H1063" s="14"/>
      <c r="I1063" s="14"/>
    </row>
    <row r="1064" spans="1:9" ht="20" customHeight="1">
      <c r="A1064" s="18">
        <v>16</v>
      </c>
      <c r="B1064" s="19" t="s">
        <v>119</v>
      </c>
      <c r="C1064" s="18">
        <v>6</v>
      </c>
      <c r="D1064" s="21">
        <v>30.456852791878173</v>
      </c>
      <c r="E1064" s="22">
        <f>+VLOOKUP($B1064,'Master Data'!$B$22:$W$110,21,FALSE)*$D1064</f>
        <v>25.614213197969544</v>
      </c>
      <c r="F1064" s="14"/>
      <c r="G1064" s="14"/>
      <c r="H1064" s="14"/>
      <c r="I1064" s="14"/>
    </row>
    <row r="1065" spans="1:9" ht="20" customHeight="1">
      <c r="A1065" s="18">
        <v>17</v>
      </c>
      <c r="B1065" s="19" t="s">
        <v>189</v>
      </c>
      <c r="C1065" s="18">
        <v>9</v>
      </c>
      <c r="D1065" s="21">
        <v>45.685279187817258</v>
      </c>
      <c r="E1065" s="22">
        <f>+VLOOKUP($B1065,'Master Data'!$B$22:$W$110,21,FALSE)*$D1065</f>
        <v>20.421319796954315</v>
      </c>
      <c r="F1065" s="14"/>
      <c r="G1065" s="14"/>
      <c r="H1065" s="14"/>
      <c r="I1065" s="14"/>
    </row>
    <row r="1066" spans="1:9" ht="20" customHeight="1">
      <c r="A1066" s="18">
        <v>18</v>
      </c>
      <c r="B1066" s="19" t="s">
        <v>115</v>
      </c>
      <c r="C1066" s="18">
        <v>5</v>
      </c>
      <c r="D1066" s="21">
        <v>25.380710659898476</v>
      </c>
      <c r="E1066" s="22">
        <f>+VLOOKUP($B1066,'Master Data'!$B$22:$W$110,21,FALSE)*$D1066</f>
        <v>20.406091370558375</v>
      </c>
      <c r="F1066" s="14"/>
      <c r="G1066" s="14"/>
      <c r="H1066" s="14"/>
      <c r="I1066" s="14"/>
    </row>
    <row r="1067" spans="1:9" ht="20" customHeight="1">
      <c r="A1067" s="18"/>
      <c r="B1067" s="39" t="s">
        <v>110</v>
      </c>
      <c r="C1067" s="17">
        <f>SUM(C1049:C1066)</f>
        <v>197</v>
      </c>
      <c r="D1067" s="17">
        <f>SUM(D1049:D1066)</f>
        <v>1000.0000000000001</v>
      </c>
      <c r="E1067" s="22">
        <f>SUM(E1049:E1066)</f>
        <v>519.46816533720096</v>
      </c>
      <c r="F1067" s="14"/>
      <c r="G1067" s="14"/>
      <c r="H1067" s="14"/>
      <c r="I1067" s="14"/>
    </row>
    <row r="1068" spans="1:9" ht="20" customHeight="1">
      <c r="A1068" s="18"/>
      <c r="B1068" s="39" t="s">
        <v>451</v>
      </c>
      <c r="C1068" s="17" t="s">
        <v>112</v>
      </c>
      <c r="D1068" s="18"/>
      <c r="E1068" s="22">
        <f>E1067*($K$555/100)</f>
        <v>51.946816533720096</v>
      </c>
      <c r="F1068" s="14"/>
      <c r="G1068" s="14"/>
      <c r="H1068" s="14"/>
      <c r="I1068" s="14"/>
    </row>
    <row r="1069" spans="1:9" ht="20" customHeight="1">
      <c r="A1069" s="18"/>
      <c r="B1069" s="39" t="s">
        <v>74</v>
      </c>
      <c r="C1069" s="18"/>
      <c r="D1069" s="18"/>
      <c r="E1069" s="22">
        <f>E1067+E1068</f>
        <v>571.41498187092111</v>
      </c>
      <c r="F1069" s="14"/>
      <c r="G1069" s="14"/>
      <c r="H1069" s="14"/>
      <c r="I1069" s="14"/>
    </row>
    <row r="1070" spans="1:9" ht="20" customHeight="1">
      <c r="A1070" s="18"/>
      <c r="B1070" s="27" t="s">
        <v>61</v>
      </c>
      <c r="C1070" s="18"/>
      <c r="D1070" s="18"/>
      <c r="E1070" s="59">
        <f>E1069/10</f>
        <v>57.141498187092111</v>
      </c>
      <c r="F1070" s="14"/>
      <c r="G1070" s="14"/>
      <c r="H1070" s="14"/>
      <c r="I1070" s="14"/>
    </row>
    <row r="1071" spans="1:9" ht="20" customHeight="1">
      <c r="A1071" s="16"/>
      <c r="B1071" s="14"/>
      <c r="C1071" s="16"/>
      <c r="D1071" s="16"/>
      <c r="E1071" s="36"/>
      <c r="F1071" s="14"/>
      <c r="G1071" s="14"/>
      <c r="H1071" s="14"/>
      <c r="I1071" s="14"/>
    </row>
    <row r="1072" spans="1:9" ht="20" customHeight="1">
      <c r="A1072" s="376" t="s">
        <v>172</v>
      </c>
      <c r="B1072" s="377"/>
      <c r="C1072" s="377"/>
      <c r="D1072" s="377"/>
      <c r="E1072" s="378"/>
      <c r="F1072" s="14"/>
      <c r="G1072" s="14"/>
      <c r="H1072" s="14"/>
      <c r="I1072" s="14"/>
    </row>
    <row r="1073" spans="1:9" ht="20" customHeight="1">
      <c r="A1073" s="10" t="s">
        <v>27</v>
      </c>
      <c r="B1073" s="10" t="s">
        <v>28</v>
      </c>
      <c r="C1073" s="10" t="s">
        <v>29</v>
      </c>
      <c r="D1073" s="10" t="s">
        <v>29</v>
      </c>
      <c r="E1073" s="15" t="s">
        <v>31</v>
      </c>
      <c r="F1073" s="14"/>
      <c r="G1073" s="14"/>
      <c r="H1073" s="14"/>
      <c r="I1073" s="14"/>
    </row>
    <row r="1074" spans="1:9" ht="20" customHeight="1">
      <c r="A1074" s="18">
        <v>1</v>
      </c>
      <c r="B1074" s="19" t="s">
        <v>0</v>
      </c>
      <c r="C1074" s="18">
        <v>1000</v>
      </c>
      <c r="D1074" s="21">
        <v>1000</v>
      </c>
      <c r="E1074" s="22">
        <f>+VLOOKUP($B1074,'Master Data'!$B$22:$W$110,21,FALSE)*$D1074</f>
        <v>881</v>
      </c>
      <c r="F1074" s="14"/>
      <c r="G1074" s="14"/>
      <c r="H1074" s="14"/>
      <c r="I1074" s="14"/>
    </row>
    <row r="1075" spans="1:9" ht="20" customHeight="1">
      <c r="A1075" s="18"/>
      <c r="B1075" s="39" t="s">
        <v>110</v>
      </c>
      <c r="C1075" s="17">
        <f>SUM(C1074:C1074)</f>
        <v>1000</v>
      </c>
      <c r="D1075" s="17">
        <f>SUM(D1074:D1074)</f>
        <v>1000</v>
      </c>
      <c r="E1075" s="22">
        <f>SUM(E1074:E1074)</f>
        <v>881</v>
      </c>
      <c r="F1075" s="14"/>
      <c r="G1075" s="14"/>
      <c r="H1075" s="14"/>
      <c r="I1075" s="14"/>
    </row>
    <row r="1076" spans="1:9" ht="20" customHeight="1">
      <c r="A1076" s="18"/>
      <c r="B1076" s="39" t="s">
        <v>556</v>
      </c>
      <c r="C1076" s="17" t="s">
        <v>112</v>
      </c>
      <c r="D1076" s="18"/>
      <c r="E1076" s="22">
        <f>E1075*(5/100)</f>
        <v>44.050000000000004</v>
      </c>
      <c r="F1076" s="14"/>
      <c r="G1076" s="14"/>
      <c r="H1076" s="14"/>
      <c r="I1076" s="14"/>
    </row>
    <row r="1077" spans="1:9" ht="20" customHeight="1">
      <c r="A1077" s="18"/>
      <c r="B1077" s="39" t="s">
        <v>74</v>
      </c>
      <c r="C1077" s="18"/>
      <c r="D1077" s="18"/>
      <c r="E1077" s="22">
        <f>E1075+E1076</f>
        <v>925.05</v>
      </c>
      <c r="F1077" s="14"/>
      <c r="G1077" s="14"/>
      <c r="H1077" s="14"/>
      <c r="I1077" s="14"/>
    </row>
    <row r="1078" spans="1:9" ht="20" customHeight="1">
      <c r="A1078" s="18"/>
      <c r="B1078" s="27" t="s">
        <v>61</v>
      </c>
      <c r="C1078" s="18"/>
      <c r="D1078" s="18"/>
      <c r="E1078" s="59">
        <f>E1077/10</f>
        <v>92.504999999999995</v>
      </c>
      <c r="F1078" s="14"/>
      <c r="G1078" s="14"/>
      <c r="H1078" s="14"/>
      <c r="I1078" s="14"/>
    </row>
    <row r="1079" spans="1:9" ht="20" customHeight="1">
      <c r="A1079" s="16"/>
      <c r="B1079" s="14"/>
      <c r="C1079" s="16"/>
      <c r="D1079" s="16"/>
      <c r="E1079" s="36"/>
      <c r="F1079" s="14"/>
      <c r="G1079" s="14"/>
      <c r="H1079" s="14"/>
      <c r="I1079" s="14"/>
    </row>
    <row r="1080" spans="1:9" ht="20" customHeight="1">
      <c r="A1080" s="376" t="s">
        <v>174</v>
      </c>
      <c r="B1080" s="377"/>
      <c r="C1080" s="377"/>
      <c r="D1080" s="377"/>
      <c r="E1080" s="378"/>
      <c r="F1080" s="14"/>
      <c r="G1080" s="14"/>
      <c r="H1080" s="14"/>
      <c r="I1080" s="14"/>
    </row>
    <row r="1081" spans="1:9" ht="20" customHeight="1">
      <c r="A1081" s="10" t="s">
        <v>27</v>
      </c>
      <c r="B1081" s="10" t="s">
        <v>28</v>
      </c>
      <c r="C1081" s="10" t="s">
        <v>29</v>
      </c>
      <c r="D1081" s="10" t="s">
        <v>29</v>
      </c>
      <c r="E1081" s="15" t="s">
        <v>31</v>
      </c>
      <c r="F1081" s="14"/>
      <c r="G1081" s="14"/>
      <c r="H1081" s="14"/>
      <c r="I1081" s="14"/>
    </row>
    <row r="1082" spans="1:9" ht="20" customHeight="1">
      <c r="A1082" s="18">
        <v>1</v>
      </c>
      <c r="B1082" s="19" t="s">
        <v>2</v>
      </c>
      <c r="C1082" s="18">
        <v>1000</v>
      </c>
      <c r="D1082" s="21">
        <v>1000</v>
      </c>
      <c r="E1082" s="22">
        <f>+VLOOKUP($B1082,'Master Data'!$B$22:$W$110,21,FALSE)*$D1082</f>
        <v>192</v>
      </c>
      <c r="F1082" s="14"/>
      <c r="G1082" s="14"/>
      <c r="H1082" s="14"/>
      <c r="I1082" s="14"/>
    </row>
    <row r="1083" spans="1:9" ht="20" customHeight="1">
      <c r="A1083" s="18"/>
      <c r="B1083" s="39" t="s">
        <v>110</v>
      </c>
      <c r="C1083" s="17">
        <f>SUM(C1082:C1082)</f>
        <v>1000</v>
      </c>
      <c r="D1083" s="17">
        <f>SUM(D1082:D1082)</f>
        <v>1000</v>
      </c>
      <c r="E1083" s="22">
        <f>SUM(E1082:E1082)</f>
        <v>192</v>
      </c>
      <c r="F1083" s="14"/>
      <c r="G1083" s="14"/>
      <c r="H1083" s="14"/>
      <c r="I1083" s="14"/>
    </row>
    <row r="1084" spans="1:9" ht="20" customHeight="1">
      <c r="A1084" s="18"/>
      <c r="B1084" s="39" t="s">
        <v>556</v>
      </c>
      <c r="C1084" s="17" t="s">
        <v>112</v>
      </c>
      <c r="D1084" s="18"/>
      <c r="E1084" s="22">
        <f>E1083*(5/100)</f>
        <v>9.6000000000000014</v>
      </c>
      <c r="F1084" s="14"/>
      <c r="G1084" s="14"/>
      <c r="H1084" s="14"/>
      <c r="I1084" s="14"/>
    </row>
    <row r="1085" spans="1:9" ht="20" customHeight="1">
      <c r="A1085" s="18"/>
      <c r="B1085" s="39" t="s">
        <v>74</v>
      </c>
      <c r="C1085" s="18"/>
      <c r="D1085" s="18"/>
      <c r="E1085" s="22">
        <f>E1083+E1084</f>
        <v>201.6</v>
      </c>
      <c r="F1085" s="14"/>
      <c r="G1085" s="14"/>
      <c r="H1085" s="14"/>
      <c r="I1085" s="14"/>
    </row>
    <row r="1086" spans="1:9" ht="20" customHeight="1">
      <c r="A1086" s="18"/>
      <c r="B1086" s="27" t="s">
        <v>61</v>
      </c>
      <c r="C1086" s="18"/>
      <c r="D1086" s="18"/>
      <c r="E1086" s="59">
        <f>E1085/10</f>
        <v>20.16</v>
      </c>
      <c r="F1086" s="14"/>
      <c r="G1086" s="14"/>
      <c r="H1086" s="14"/>
      <c r="I1086" s="14"/>
    </row>
    <row r="1087" spans="1:9" ht="20" customHeight="1">
      <c r="A1087" s="16"/>
      <c r="B1087" s="14"/>
      <c r="C1087" s="16"/>
      <c r="D1087" s="16"/>
      <c r="E1087" s="36"/>
      <c r="F1087" s="14"/>
      <c r="G1087" s="14"/>
      <c r="H1087" s="14"/>
      <c r="I1087" s="14"/>
    </row>
    <row r="1088" spans="1:9" ht="20" customHeight="1">
      <c r="A1088" s="376" t="s">
        <v>176</v>
      </c>
      <c r="B1088" s="377"/>
      <c r="C1088" s="377"/>
      <c r="D1088" s="377"/>
      <c r="E1088" s="378"/>
      <c r="F1088" s="14"/>
      <c r="G1088" s="14"/>
      <c r="H1088" s="14"/>
      <c r="I1088" s="14"/>
    </row>
    <row r="1089" spans="1:9" ht="20" customHeight="1">
      <c r="A1089" s="10" t="s">
        <v>27</v>
      </c>
      <c r="B1089" s="10" t="s">
        <v>28</v>
      </c>
      <c r="C1089" s="10" t="s">
        <v>29</v>
      </c>
      <c r="D1089" s="10" t="s">
        <v>29</v>
      </c>
      <c r="E1089" s="15" t="s">
        <v>31</v>
      </c>
      <c r="F1089" s="14"/>
      <c r="G1089" s="14"/>
      <c r="H1089" s="14"/>
      <c r="I1089" s="14"/>
    </row>
    <row r="1090" spans="1:9" ht="20" customHeight="1">
      <c r="A1090" s="18">
        <v>1</v>
      </c>
      <c r="B1090" s="19" t="s">
        <v>3</v>
      </c>
      <c r="C1090" s="18">
        <v>1000</v>
      </c>
      <c r="D1090" s="21">
        <v>1000</v>
      </c>
      <c r="E1090" s="22">
        <f>+VLOOKUP($B1090,'Master Data'!$B$22:$W$110,21,FALSE)*$D1090</f>
        <v>304</v>
      </c>
      <c r="F1090" s="14"/>
      <c r="G1090" s="14"/>
      <c r="H1090" s="14"/>
      <c r="I1090" s="14"/>
    </row>
    <row r="1091" spans="1:9" ht="20" customHeight="1">
      <c r="A1091" s="18"/>
      <c r="B1091" s="39" t="s">
        <v>110</v>
      </c>
      <c r="C1091" s="17">
        <f>SUM(C1090:C1090)</f>
        <v>1000</v>
      </c>
      <c r="D1091" s="17">
        <f>SUM(D1090:D1090)</f>
        <v>1000</v>
      </c>
      <c r="E1091" s="22">
        <f>SUM(E1090:E1090)</f>
        <v>304</v>
      </c>
      <c r="F1091" s="14"/>
      <c r="G1091" s="14"/>
      <c r="H1091" s="14"/>
      <c r="I1091" s="14"/>
    </row>
    <row r="1092" spans="1:9" ht="20" customHeight="1">
      <c r="A1092" s="18"/>
      <c r="B1092" s="39" t="s">
        <v>556</v>
      </c>
      <c r="C1092" s="17" t="s">
        <v>112</v>
      </c>
      <c r="D1092" s="18"/>
      <c r="E1092" s="22">
        <f>E1091*(5/100)</f>
        <v>15.200000000000001</v>
      </c>
      <c r="F1092" s="14"/>
      <c r="G1092" s="14"/>
      <c r="H1092" s="14"/>
      <c r="I1092" s="14"/>
    </row>
    <row r="1093" spans="1:9" ht="20" customHeight="1">
      <c r="A1093" s="18"/>
      <c r="B1093" s="39" t="s">
        <v>74</v>
      </c>
      <c r="C1093" s="18"/>
      <c r="D1093" s="18"/>
      <c r="E1093" s="22">
        <f>E1091+E1092</f>
        <v>319.2</v>
      </c>
      <c r="F1093" s="14"/>
      <c r="G1093" s="14"/>
      <c r="H1093" s="14"/>
      <c r="I1093" s="14"/>
    </row>
    <row r="1094" spans="1:9" ht="20" customHeight="1">
      <c r="A1094" s="18"/>
      <c r="B1094" s="27" t="s">
        <v>61</v>
      </c>
      <c r="C1094" s="18"/>
      <c r="D1094" s="18"/>
      <c r="E1094" s="59">
        <f>E1093/10</f>
        <v>31.919999999999998</v>
      </c>
      <c r="F1094" s="14"/>
      <c r="G1094" s="14"/>
      <c r="H1094" s="14"/>
      <c r="I1094" s="14"/>
    </row>
    <row r="1095" spans="1:9" ht="20" customHeight="1">
      <c r="A1095" s="16"/>
      <c r="B1095" s="14"/>
      <c r="C1095" s="16"/>
      <c r="D1095" s="16"/>
      <c r="E1095" s="36"/>
      <c r="F1095" s="14"/>
      <c r="G1095" s="14"/>
      <c r="H1095" s="14"/>
      <c r="I1095" s="14"/>
    </row>
    <row r="1096" spans="1:9" ht="20" customHeight="1">
      <c r="A1096" s="376" t="s">
        <v>228</v>
      </c>
      <c r="B1096" s="377"/>
      <c r="C1096" s="377"/>
      <c r="D1096" s="377"/>
      <c r="E1096" s="378"/>
      <c r="F1096" s="14"/>
      <c r="G1096" s="14"/>
      <c r="H1096" s="14"/>
      <c r="I1096" s="14"/>
    </row>
    <row r="1097" spans="1:9" ht="20" customHeight="1">
      <c r="A1097" s="10" t="s">
        <v>27</v>
      </c>
      <c r="B1097" s="10" t="s">
        <v>28</v>
      </c>
      <c r="C1097" s="10" t="s">
        <v>29</v>
      </c>
      <c r="D1097" s="10" t="s">
        <v>29</v>
      </c>
      <c r="E1097" s="15" t="s">
        <v>31</v>
      </c>
      <c r="F1097" s="14"/>
      <c r="G1097" s="14"/>
      <c r="H1097" s="14"/>
      <c r="I1097" s="14"/>
    </row>
    <row r="1098" spans="1:9" ht="20" customHeight="1">
      <c r="A1098" s="18">
        <v>1</v>
      </c>
      <c r="B1098" s="19" t="s">
        <v>2</v>
      </c>
      <c r="C1098" s="18">
        <v>800</v>
      </c>
      <c r="D1098" s="21">
        <v>800</v>
      </c>
      <c r="E1098" s="22">
        <f>+VLOOKUP($B1098,'Master Data'!$B$22:$W$110,21,FALSE)*$D1098</f>
        <v>153.6</v>
      </c>
      <c r="F1098" s="14"/>
      <c r="G1098" s="14"/>
      <c r="H1098" s="14"/>
      <c r="I1098" s="14"/>
    </row>
    <row r="1099" spans="1:9" ht="20" customHeight="1">
      <c r="A1099" s="18">
        <v>2</v>
      </c>
      <c r="B1099" s="19" t="s">
        <v>3</v>
      </c>
      <c r="C1099" s="18">
        <v>200</v>
      </c>
      <c r="D1099" s="21">
        <v>200</v>
      </c>
      <c r="E1099" s="22">
        <f>+VLOOKUP($B1099,'Master Data'!$B$22:$W$110,21,FALSE)*$D1099</f>
        <v>60.8</v>
      </c>
      <c r="F1099" s="14"/>
      <c r="G1099" s="14"/>
      <c r="H1099" s="14"/>
      <c r="I1099" s="14"/>
    </row>
    <row r="1100" spans="1:9" ht="20" customHeight="1">
      <c r="A1100" s="18"/>
      <c r="B1100" s="39" t="s">
        <v>110</v>
      </c>
      <c r="C1100" s="17">
        <f>SUM(C1098:C1099)</f>
        <v>1000</v>
      </c>
      <c r="D1100" s="17">
        <f>SUM(D1098:D1099)</f>
        <v>1000</v>
      </c>
      <c r="E1100" s="22">
        <f>SUM(E1098:E1099)</f>
        <v>214.39999999999998</v>
      </c>
      <c r="F1100" s="14"/>
      <c r="G1100" s="14"/>
      <c r="H1100" s="14"/>
      <c r="I1100" s="14"/>
    </row>
    <row r="1101" spans="1:9" ht="20" customHeight="1">
      <c r="A1101" s="18"/>
      <c r="B1101" s="39" t="s">
        <v>556</v>
      </c>
      <c r="C1101" s="17" t="s">
        <v>112</v>
      </c>
      <c r="D1101" s="18"/>
      <c r="E1101" s="22">
        <f>E1100*(5/100)</f>
        <v>10.719999999999999</v>
      </c>
      <c r="F1101" s="14"/>
      <c r="G1101" s="14"/>
      <c r="H1101" s="14"/>
      <c r="I1101" s="14"/>
    </row>
    <row r="1102" spans="1:9" ht="20" customHeight="1">
      <c r="A1102" s="18"/>
      <c r="B1102" s="39" t="s">
        <v>74</v>
      </c>
      <c r="C1102" s="18"/>
      <c r="D1102" s="18"/>
      <c r="E1102" s="22">
        <f>E1100+E1101</f>
        <v>225.11999999999998</v>
      </c>
      <c r="F1102" s="14"/>
      <c r="G1102" s="14"/>
      <c r="H1102" s="14"/>
      <c r="I1102" s="14"/>
    </row>
    <row r="1103" spans="1:9" ht="20" customHeight="1">
      <c r="A1103" s="18"/>
      <c r="B1103" s="27" t="s">
        <v>61</v>
      </c>
      <c r="C1103" s="18"/>
      <c r="D1103" s="18"/>
      <c r="E1103" s="59">
        <f>E1102/10</f>
        <v>22.511999999999997</v>
      </c>
      <c r="F1103" s="14"/>
      <c r="G1103" s="14"/>
      <c r="H1103" s="14"/>
      <c r="I1103" s="14"/>
    </row>
    <row r="1105" spans="1:29" ht="20" customHeight="1">
      <c r="A1105" s="376" t="s">
        <v>540</v>
      </c>
      <c r="B1105" s="377"/>
      <c r="C1105" s="377"/>
      <c r="D1105" s="377"/>
      <c r="E1105" s="378"/>
    </row>
    <row r="1106" spans="1:29" ht="20" customHeight="1">
      <c r="A1106" s="10" t="s">
        <v>27</v>
      </c>
      <c r="B1106" s="10" t="s">
        <v>28</v>
      </c>
      <c r="C1106" s="10" t="s">
        <v>29</v>
      </c>
      <c r="D1106" s="10" t="s">
        <v>29</v>
      </c>
      <c r="E1106" s="15" t="s">
        <v>31</v>
      </c>
    </row>
    <row r="1107" spans="1:29" ht="20" customHeight="1">
      <c r="A1107" s="18">
        <v>1</v>
      </c>
      <c r="B1107" s="19" t="s">
        <v>5</v>
      </c>
      <c r="C1107" s="18">
        <v>1000</v>
      </c>
      <c r="D1107" s="21">
        <v>1000</v>
      </c>
      <c r="E1107" s="22">
        <f>+VLOOKUP($B1107,'Master Data'!$B$22:$W$110,21,FALSE)*$D1107</f>
        <v>1006</v>
      </c>
    </row>
    <row r="1108" spans="1:29" ht="20" customHeight="1">
      <c r="A1108" s="18"/>
      <c r="B1108" s="39" t="s">
        <v>110</v>
      </c>
      <c r="C1108" s="17">
        <f>SUM(C1107:C1107)</f>
        <v>1000</v>
      </c>
      <c r="D1108" s="17">
        <f>SUM(D1107:D1107)</f>
        <v>1000</v>
      </c>
      <c r="E1108" s="22">
        <f>SUM(E1107:E1107)</f>
        <v>1006</v>
      </c>
    </row>
    <row r="1109" spans="1:29" ht="20" customHeight="1">
      <c r="A1109" s="18"/>
      <c r="B1109" s="39" t="s">
        <v>556</v>
      </c>
      <c r="C1109" s="17" t="s">
        <v>112</v>
      </c>
      <c r="D1109" s="18"/>
      <c r="E1109" s="22">
        <f>E1108*(5/100)</f>
        <v>50.300000000000004</v>
      </c>
    </row>
    <row r="1110" spans="1:29" ht="20" customHeight="1">
      <c r="A1110" s="18"/>
      <c r="B1110" s="39" t="s">
        <v>74</v>
      </c>
      <c r="C1110" s="18"/>
      <c r="D1110" s="18"/>
      <c r="E1110" s="22">
        <f>E1108+E1109</f>
        <v>1056.3</v>
      </c>
    </row>
    <row r="1111" spans="1:29" ht="20" customHeight="1">
      <c r="A1111" s="18"/>
      <c r="B1111" s="27" t="s">
        <v>61</v>
      </c>
      <c r="C1111" s="18"/>
      <c r="D1111" s="18"/>
      <c r="E1111" s="59">
        <f>E1110/10</f>
        <v>105.63</v>
      </c>
    </row>
    <row r="1117" spans="1:29" ht="20" customHeight="1">
      <c r="B1117" s="196"/>
    </row>
    <row r="1119" spans="1:29" ht="39" customHeight="1">
      <c r="D1119" s="379" t="s">
        <v>401</v>
      </c>
      <c r="E1119" s="379"/>
      <c r="F1119" s="379"/>
      <c r="G1119" s="379"/>
    </row>
    <row r="1120" spans="1:29" ht="20" customHeight="1">
      <c r="A1120" s="83" t="s">
        <v>278</v>
      </c>
      <c r="B1120" s="83" t="s">
        <v>285</v>
      </c>
      <c r="C1120" s="83">
        <v>1000</v>
      </c>
      <c r="D1120" s="83" t="s">
        <v>285</v>
      </c>
      <c r="E1120" s="83">
        <v>500</v>
      </c>
      <c r="F1120" s="83" t="s">
        <v>285</v>
      </c>
      <c r="G1120" s="83">
        <v>100</v>
      </c>
      <c r="H1120" s="83" t="s">
        <v>285</v>
      </c>
      <c r="I1120" s="83">
        <v>50</v>
      </c>
      <c r="J1120"/>
      <c r="K1120" s="83" t="s">
        <v>278</v>
      </c>
      <c r="L1120" s="83" t="s">
        <v>285</v>
      </c>
      <c r="M1120" s="83" t="s">
        <v>290</v>
      </c>
      <c r="N1120" s="83" t="s">
        <v>285</v>
      </c>
      <c r="O1120" s="83" t="s">
        <v>291</v>
      </c>
      <c r="P1120" s="83" t="s">
        <v>285</v>
      </c>
      <c r="Q1120" s="83" t="s">
        <v>345</v>
      </c>
      <c r="R1120" s="83" t="s">
        <v>285</v>
      </c>
      <c r="S1120" s="83" t="s">
        <v>347</v>
      </c>
      <c r="T1120"/>
      <c r="U1120" s="83" t="s">
        <v>278</v>
      </c>
      <c r="V1120" s="83" t="s">
        <v>285</v>
      </c>
      <c r="W1120" s="83" t="s">
        <v>290</v>
      </c>
      <c r="X1120" s="83" t="s">
        <v>285</v>
      </c>
      <c r="Y1120" s="83" t="s">
        <v>291</v>
      </c>
      <c r="Z1120" s="83" t="s">
        <v>285</v>
      </c>
      <c r="AA1120" s="83" t="s">
        <v>345</v>
      </c>
      <c r="AB1120" s="83" t="s">
        <v>285</v>
      </c>
      <c r="AC1120" s="83" t="s">
        <v>347</v>
      </c>
    </row>
    <row r="1121" spans="1:29" ht="20" customHeight="1">
      <c r="A1121" s="58" t="s">
        <v>1</v>
      </c>
      <c r="B1121" s="58" t="s">
        <v>286</v>
      </c>
      <c r="C1121" s="58">
        <v>2</v>
      </c>
      <c r="D1121" s="58" t="s">
        <v>289</v>
      </c>
      <c r="E1121" s="58">
        <v>1</v>
      </c>
      <c r="F1121" s="58" t="s">
        <v>344</v>
      </c>
      <c r="G1121" s="58">
        <v>1</v>
      </c>
      <c r="H1121" s="58" t="s">
        <v>346</v>
      </c>
      <c r="I1121" s="58">
        <v>2</v>
      </c>
      <c r="J1121"/>
      <c r="K1121" s="58" t="s">
        <v>15</v>
      </c>
      <c r="L1121" s="58" t="s">
        <v>286</v>
      </c>
      <c r="M1121" s="58">
        <v>2</v>
      </c>
      <c r="N1121" s="58" t="s">
        <v>289</v>
      </c>
      <c r="O1121" s="58">
        <v>1</v>
      </c>
      <c r="P1121" s="58" t="s">
        <v>344</v>
      </c>
      <c r="Q1121" s="58">
        <v>1</v>
      </c>
      <c r="R1121" s="58" t="s">
        <v>346</v>
      </c>
      <c r="S1121" s="58">
        <v>2</v>
      </c>
      <c r="T1121"/>
      <c r="U1121" s="58" t="s">
        <v>543</v>
      </c>
      <c r="V1121" s="58" t="s">
        <v>286</v>
      </c>
      <c r="W1121" s="58">
        <v>4</v>
      </c>
      <c r="X1121" s="58" t="s">
        <v>289</v>
      </c>
      <c r="Y1121" s="58">
        <v>2</v>
      </c>
      <c r="Z1121" s="58" t="s">
        <v>344</v>
      </c>
      <c r="AA1121" s="58">
        <v>1</v>
      </c>
      <c r="AB1121" s="58" t="s">
        <v>346</v>
      </c>
      <c r="AC1121" s="58">
        <v>1</v>
      </c>
    </row>
    <row r="1122" spans="1:29" ht="20" customHeight="1">
      <c r="A1122" s="58" t="s">
        <v>0</v>
      </c>
      <c r="B1122" s="58" t="s">
        <v>286</v>
      </c>
      <c r="C1122" s="58">
        <v>1</v>
      </c>
      <c r="D1122" s="58" t="s">
        <v>289</v>
      </c>
      <c r="E1122" s="58">
        <v>1</v>
      </c>
      <c r="F1122" s="58" t="s">
        <v>344</v>
      </c>
      <c r="G1122" s="58">
        <v>1</v>
      </c>
      <c r="H1122" s="58" t="s">
        <v>346</v>
      </c>
      <c r="I1122" s="58">
        <v>1</v>
      </c>
      <c r="J1122"/>
      <c r="K1122" s="58" t="s">
        <v>35</v>
      </c>
      <c r="L1122" s="58" t="s">
        <v>286</v>
      </c>
      <c r="M1122" s="58">
        <v>2</v>
      </c>
      <c r="N1122" s="58" t="s">
        <v>289</v>
      </c>
      <c r="O1122" s="58">
        <v>1</v>
      </c>
      <c r="P1122" s="58" t="s">
        <v>344</v>
      </c>
      <c r="Q1122" s="58">
        <v>1</v>
      </c>
      <c r="R1122" s="58" t="s">
        <v>346</v>
      </c>
      <c r="S1122" s="58">
        <v>2</v>
      </c>
      <c r="T1122"/>
      <c r="U1122" s="58" t="s">
        <v>158</v>
      </c>
      <c r="V1122" s="58" t="s">
        <v>286</v>
      </c>
      <c r="W1122" s="58">
        <v>4</v>
      </c>
      <c r="X1122" s="58" t="s">
        <v>289</v>
      </c>
      <c r="Y1122" s="58">
        <f t="shared" ref="Y1122:Y1131" si="117">+W1122/2</f>
        <v>2</v>
      </c>
      <c r="Z1122" s="58" t="s">
        <v>344</v>
      </c>
      <c r="AA1122" s="58">
        <f t="shared" ref="AA1122:AA1131" si="118">+Y1122/2</f>
        <v>1</v>
      </c>
      <c r="AB1122" s="58" t="s">
        <v>346</v>
      </c>
      <c r="AC1122" s="58">
        <v>1</v>
      </c>
    </row>
    <row r="1123" spans="1:29" ht="20" customHeight="1">
      <c r="A1123" s="58" t="s">
        <v>3</v>
      </c>
      <c r="B1123" s="58" t="s">
        <v>286</v>
      </c>
      <c r="C1123" s="58">
        <v>1</v>
      </c>
      <c r="D1123" s="58" t="s">
        <v>289</v>
      </c>
      <c r="E1123" s="58">
        <v>1</v>
      </c>
      <c r="F1123" s="58" t="s">
        <v>344</v>
      </c>
      <c r="G1123" s="58">
        <v>1</v>
      </c>
      <c r="H1123" s="58" t="s">
        <v>346</v>
      </c>
      <c r="I1123" s="58">
        <v>1</v>
      </c>
      <c r="J1123"/>
      <c r="K1123" s="58" t="s">
        <v>2</v>
      </c>
      <c r="L1123" s="58" t="s">
        <v>286</v>
      </c>
      <c r="M1123" s="58">
        <v>2</v>
      </c>
      <c r="N1123" s="58" t="s">
        <v>289</v>
      </c>
      <c r="O1123" s="58">
        <f>+M1123/2</f>
        <v>1</v>
      </c>
      <c r="P1123" s="58" t="s">
        <v>344</v>
      </c>
      <c r="Q1123" s="58">
        <v>1</v>
      </c>
      <c r="R1123" s="58" t="s">
        <v>346</v>
      </c>
      <c r="S1123" s="58">
        <v>1</v>
      </c>
      <c r="T1123"/>
      <c r="U1123" s="58" t="s">
        <v>5</v>
      </c>
      <c r="V1123" s="58" t="s">
        <v>286</v>
      </c>
      <c r="W1123" s="58">
        <v>4</v>
      </c>
      <c r="X1123" s="58" t="s">
        <v>289</v>
      </c>
      <c r="Y1123" s="58">
        <f t="shared" si="117"/>
        <v>2</v>
      </c>
      <c r="Z1123" s="58" t="s">
        <v>344</v>
      </c>
      <c r="AA1123" s="58">
        <f t="shared" si="118"/>
        <v>1</v>
      </c>
      <c r="AB1123" s="58" t="s">
        <v>346</v>
      </c>
      <c r="AC1123" s="58">
        <v>1</v>
      </c>
    </row>
    <row r="1124" spans="1:29" ht="20" customHeight="1">
      <c r="A1124" s="58" t="s">
        <v>41</v>
      </c>
      <c r="B1124" s="58" t="s">
        <v>286</v>
      </c>
      <c r="C1124" s="58">
        <v>1</v>
      </c>
      <c r="D1124" s="58" t="s">
        <v>289</v>
      </c>
      <c r="E1124" s="58">
        <v>1</v>
      </c>
      <c r="F1124" s="58" t="s">
        <v>344</v>
      </c>
      <c r="G1124" s="58">
        <v>1</v>
      </c>
      <c r="H1124" s="58" t="s">
        <v>346</v>
      </c>
      <c r="I1124" s="58">
        <v>1</v>
      </c>
      <c r="J1124"/>
      <c r="K1124" s="58" t="s">
        <v>270</v>
      </c>
      <c r="L1124" s="58" t="s">
        <v>286</v>
      </c>
      <c r="M1124" s="58">
        <v>2</v>
      </c>
      <c r="N1124" s="58" t="s">
        <v>289</v>
      </c>
      <c r="O1124" s="58">
        <f>+M1124/2</f>
        <v>1</v>
      </c>
      <c r="P1124" s="58" t="s">
        <v>344</v>
      </c>
      <c r="Q1124" s="58">
        <v>1</v>
      </c>
      <c r="R1124" s="58" t="s">
        <v>346</v>
      </c>
      <c r="S1124" s="58"/>
      <c r="T1124"/>
      <c r="U1124" s="58" t="s">
        <v>161</v>
      </c>
      <c r="V1124" s="58" t="s">
        <v>286</v>
      </c>
      <c r="W1124" s="58">
        <v>4</v>
      </c>
      <c r="X1124" s="58" t="s">
        <v>289</v>
      </c>
      <c r="Y1124" s="58">
        <f t="shared" si="117"/>
        <v>2</v>
      </c>
      <c r="Z1124" s="58" t="s">
        <v>344</v>
      </c>
      <c r="AA1124" s="58">
        <f t="shared" si="118"/>
        <v>1</v>
      </c>
      <c r="AB1124" s="58" t="s">
        <v>346</v>
      </c>
      <c r="AC1124" s="58">
        <v>1</v>
      </c>
    </row>
    <row r="1125" spans="1:29" ht="20" customHeight="1">
      <c r="A1125" s="58" t="s">
        <v>172</v>
      </c>
      <c r="B1125" s="58" t="s">
        <v>286</v>
      </c>
      <c r="C1125" s="58">
        <v>1</v>
      </c>
      <c r="D1125" s="58" t="s">
        <v>289</v>
      </c>
      <c r="E1125" s="58">
        <v>1</v>
      </c>
      <c r="F1125" s="58" t="s">
        <v>344</v>
      </c>
      <c r="G1125" s="58">
        <v>1</v>
      </c>
      <c r="H1125" s="58" t="s">
        <v>346</v>
      </c>
      <c r="I1125" s="58">
        <v>1</v>
      </c>
      <c r="J1125"/>
      <c r="K1125"/>
      <c r="L1125"/>
      <c r="M1125"/>
      <c r="N1125"/>
      <c r="O1125"/>
      <c r="P1125"/>
      <c r="Q1125"/>
      <c r="R1125"/>
      <c r="S1125"/>
      <c r="T1125"/>
      <c r="U1125" s="58" t="s">
        <v>163</v>
      </c>
      <c r="V1125" s="58" t="s">
        <v>286</v>
      </c>
      <c r="W1125" s="58">
        <v>4</v>
      </c>
      <c r="X1125" s="58" t="s">
        <v>289</v>
      </c>
      <c r="Y1125" s="58">
        <f t="shared" si="117"/>
        <v>2</v>
      </c>
      <c r="Z1125" s="58" t="s">
        <v>344</v>
      </c>
      <c r="AA1125" s="58">
        <f t="shared" si="118"/>
        <v>1</v>
      </c>
      <c r="AB1125" s="58" t="s">
        <v>346</v>
      </c>
      <c r="AC1125" s="58">
        <v>1</v>
      </c>
    </row>
    <row r="1126" spans="1:29" ht="20" customHeight="1">
      <c r="A1126" s="58" t="s">
        <v>174</v>
      </c>
      <c r="B1126" s="58" t="s">
        <v>286</v>
      </c>
      <c r="C1126" s="58">
        <v>1</v>
      </c>
      <c r="D1126" s="58" t="s">
        <v>289</v>
      </c>
      <c r="E1126" s="58">
        <v>1</v>
      </c>
      <c r="F1126" s="58" t="s">
        <v>344</v>
      </c>
      <c r="G1126" s="58">
        <v>1</v>
      </c>
      <c r="H1126" s="58" t="s">
        <v>346</v>
      </c>
      <c r="I1126" s="58">
        <v>1</v>
      </c>
      <c r="J1126"/>
      <c r="K1126"/>
      <c r="L1126"/>
      <c r="M1126"/>
      <c r="N1126"/>
      <c r="O1126"/>
      <c r="P1126"/>
      <c r="Q1126"/>
      <c r="R1126"/>
      <c r="S1126"/>
      <c r="T1126"/>
      <c r="U1126" s="58" t="s">
        <v>16</v>
      </c>
      <c r="V1126" s="58" t="s">
        <v>286</v>
      </c>
      <c r="W1126" s="58">
        <v>4</v>
      </c>
      <c r="X1126" s="58" t="s">
        <v>289</v>
      </c>
      <c r="Y1126" s="58">
        <f t="shared" si="117"/>
        <v>2</v>
      </c>
      <c r="Z1126" s="58" t="s">
        <v>344</v>
      </c>
      <c r="AA1126" s="58">
        <f t="shared" si="118"/>
        <v>1</v>
      </c>
      <c r="AB1126" s="58" t="s">
        <v>346</v>
      </c>
      <c r="AC1126" s="58">
        <v>1</v>
      </c>
    </row>
    <row r="1127" spans="1:29" ht="20" customHeight="1">
      <c r="A1127" s="58" t="s">
        <v>176</v>
      </c>
      <c r="B1127" s="58" t="s">
        <v>286</v>
      </c>
      <c r="C1127" s="58">
        <v>1</v>
      </c>
      <c r="D1127" s="58" t="s">
        <v>289</v>
      </c>
      <c r="E1127" s="58">
        <v>1</v>
      </c>
      <c r="F1127" s="58" t="s">
        <v>344</v>
      </c>
      <c r="G1127" s="58">
        <v>1</v>
      </c>
      <c r="H1127" s="58" t="s">
        <v>346</v>
      </c>
      <c r="I1127" s="58">
        <v>1</v>
      </c>
      <c r="J1127"/>
      <c r="K1127"/>
      <c r="L1127"/>
      <c r="M1127"/>
      <c r="N1127"/>
      <c r="O1127"/>
      <c r="P1127"/>
      <c r="Q1127"/>
      <c r="R1127"/>
      <c r="S1127"/>
      <c r="T1127"/>
      <c r="U1127" s="58" t="s">
        <v>17</v>
      </c>
      <c r="V1127" s="58" t="s">
        <v>286</v>
      </c>
      <c r="W1127" s="58">
        <v>4</v>
      </c>
      <c r="X1127" s="58" t="s">
        <v>289</v>
      </c>
      <c r="Y1127" s="58">
        <f t="shared" si="117"/>
        <v>2</v>
      </c>
      <c r="Z1127" s="58" t="s">
        <v>344</v>
      </c>
      <c r="AA1127" s="58">
        <f t="shared" si="118"/>
        <v>1</v>
      </c>
      <c r="AB1127" s="58" t="s">
        <v>346</v>
      </c>
      <c r="AC1127" s="58"/>
    </row>
    <row r="1128" spans="1:29" ht="20" customHeight="1">
      <c r="A1128" s="58" t="s">
        <v>228</v>
      </c>
      <c r="B1128" s="58" t="s">
        <v>286</v>
      </c>
      <c r="C1128" s="58">
        <v>1</v>
      </c>
      <c r="D1128" s="58" t="s">
        <v>289</v>
      </c>
      <c r="E1128" s="58">
        <v>1</v>
      </c>
      <c r="F1128" s="58" t="s">
        <v>344</v>
      </c>
      <c r="G1128" s="58">
        <v>1</v>
      </c>
      <c r="H1128" s="58" t="s">
        <v>346</v>
      </c>
      <c r="I1128" s="58">
        <v>1</v>
      </c>
      <c r="J1128"/>
      <c r="K1128"/>
      <c r="L1128"/>
      <c r="M1128"/>
      <c r="N1128"/>
      <c r="O1128"/>
      <c r="P1128"/>
      <c r="Q1128"/>
      <c r="R1128"/>
      <c r="S1128"/>
      <c r="T1128"/>
      <c r="U1128" s="58" t="s">
        <v>86</v>
      </c>
      <c r="V1128" s="58" t="s">
        <v>286</v>
      </c>
      <c r="W1128" s="58">
        <v>4</v>
      </c>
      <c r="X1128" s="58" t="s">
        <v>289</v>
      </c>
      <c r="Y1128" s="58">
        <f t="shared" si="117"/>
        <v>2</v>
      </c>
      <c r="Z1128" s="58" t="s">
        <v>344</v>
      </c>
      <c r="AA1128" s="58">
        <f t="shared" si="118"/>
        <v>1</v>
      </c>
      <c r="AB1128" s="58" t="s">
        <v>346</v>
      </c>
      <c r="AC1128" s="58"/>
    </row>
    <row r="1129" spans="1:29" ht="20" customHeight="1">
      <c r="A1129" s="58" t="s">
        <v>540</v>
      </c>
      <c r="B1129" s="58" t="s">
        <v>286</v>
      </c>
      <c r="C1129" s="58">
        <v>1</v>
      </c>
      <c r="D1129" s="58" t="s">
        <v>289</v>
      </c>
      <c r="E1129" s="58">
        <v>1</v>
      </c>
      <c r="F1129" s="58" t="s">
        <v>344</v>
      </c>
      <c r="G1129" s="58">
        <v>1</v>
      </c>
      <c r="H1129" s="58" t="s">
        <v>346</v>
      </c>
      <c r="I1129" s="58">
        <v>1</v>
      </c>
      <c r="J1129"/>
      <c r="K1129"/>
      <c r="L1129"/>
      <c r="M1129"/>
      <c r="N1129"/>
      <c r="O1129"/>
      <c r="P1129"/>
      <c r="Q1129"/>
      <c r="R1129"/>
      <c r="S1129"/>
      <c r="T1129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spans="1:29" ht="20" customHeight="1">
      <c r="A1130" s="58" t="s">
        <v>179</v>
      </c>
      <c r="B1130" s="58" t="s">
        <v>286</v>
      </c>
      <c r="C1130" s="58">
        <v>1</v>
      </c>
      <c r="D1130" s="58" t="s">
        <v>289</v>
      </c>
      <c r="E1130" s="58">
        <v>1</v>
      </c>
      <c r="F1130" s="58" t="s">
        <v>344</v>
      </c>
      <c r="G1130" s="58">
        <v>1</v>
      </c>
      <c r="H1130" s="58" t="s">
        <v>346</v>
      </c>
      <c r="I1130" s="58">
        <v>1</v>
      </c>
      <c r="J1130"/>
      <c r="K1130"/>
      <c r="L1130"/>
      <c r="M1130"/>
      <c r="N1130"/>
      <c r="O1130"/>
      <c r="P1130"/>
      <c r="Q1130"/>
      <c r="R1130"/>
      <c r="S1130"/>
      <c r="T1130"/>
      <c r="U1130" s="58" t="s">
        <v>12</v>
      </c>
      <c r="V1130" s="58" t="s">
        <v>286</v>
      </c>
      <c r="W1130" s="58">
        <v>4</v>
      </c>
      <c r="X1130" s="58" t="s">
        <v>289</v>
      </c>
      <c r="Y1130" s="58">
        <f t="shared" si="117"/>
        <v>2</v>
      </c>
      <c r="Z1130" s="58" t="s">
        <v>344</v>
      </c>
      <c r="AA1130" s="58">
        <f t="shared" si="118"/>
        <v>1</v>
      </c>
      <c r="AB1130" s="58" t="s">
        <v>346</v>
      </c>
      <c r="AC1130" s="58">
        <v>1</v>
      </c>
    </row>
    <row r="1131" spans="1:29" ht="20" customHeight="1">
      <c r="A1131" s="58" t="s">
        <v>181</v>
      </c>
      <c r="B1131" s="58" t="s">
        <v>286</v>
      </c>
      <c r="C1131" s="58">
        <v>1</v>
      </c>
      <c r="D1131" s="58" t="s">
        <v>289</v>
      </c>
      <c r="E1131" s="58">
        <v>1</v>
      </c>
      <c r="F1131" s="58" t="s">
        <v>344</v>
      </c>
      <c r="G1131" s="58">
        <v>1</v>
      </c>
      <c r="H1131" s="58" t="s">
        <v>346</v>
      </c>
      <c r="I1131" s="58">
        <v>1</v>
      </c>
      <c r="J1131"/>
      <c r="K1131"/>
      <c r="L1131"/>
      <c r="M1131"/>
      <c r="N1131"/>
      <c r="O1131"/>
      <c r="P1131"/>
      <c r="Q1131"/>
      <c r="R1131"/>
      <c r="S1131"/>
      <c r="T1131"/>
      <c r="U1131" s="58" t="s">
        <v>13</v>
      </c>
      <c r="V1131" s="58" t="s">
        <v>286</v>
      </c>
      <c r="W1131" s="58">
        <v>4</v>
      </c>
      <c r="X1131" s="58" t="s">
        <v>289</v>
      </c>
      <c r="Y1131" s="58">
        <f t="shared" si="117"/>
        <v>2</v>
      </c>
      <c r="Z1131" s="58" t="s">
        <v>344</v>
      </c>
      <c r="AA1131" s="58">
        <f t="shared" si="118"/>
        <v>1</v>
      </c>
      <c r="AB1131" s="58" t="s">
        <v>346</v>
      </c>
      <c r="AC1131" s="58">
        <v>2</v>
      </c>
    </row>
    <row r="1132" spans="1:29" ht="20" customHeight="1">
      <c r="A1132" s="58" t="s">
        <v>183</v>
      </c>
      <c r="B1132" s="58" t="s">
        <v>286</v>
      </c>
      <c r="C1132" s="58">
        <v>1</v>
      </c>
      <c r="D1132" s="58" t="s">
        <v>289</v>
      </c>
      <c r="E1132" s="58">
        <v>1</v>
      </c>
      <c r="F1132" s="58" t="s">
        <v>344</v>
      </c>
      <c r="G1132" s="58">
        <v>1</v>
      </c>
      <c r="H1132" s="58" t="s">
        <v>346</v>
      </c>
      <c r="I1132" s="58">
        <v>1</v>
      </c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</row>
    <row r="1133" spans="1:29" ht="20" customHeight="1">
      <c r="A1133" s="58" t="s">
        <v>185</v>
      </c>
      <c r="B1133" s="58" t="s">
        <v>286</v>
      </c>
      <c r="C1133" s="58">
        <v>1</v>
      </c>
      <c r="D1133" s="58" t="s">
        <v>289</v>
      </c>
      <c r="E1133" s="58">
        <v>1</v>
      </c>
      <c r="F1133" s="58" t="s">
        <v>344</v>
      </c>
      <c r="G1133" s="58">
        <v>1</v>
      </c>
      <c r="H1133" s="58" t="s">
        <v>346</v>
      </c>
      <c r="I1133" s="58">
        <v>1</v>
      </c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</row>
    <row r="1134" spans="1:29" ht="20" customHeight="1">
      <c r="A1134" s="58" t="s">
        <v>187</v>
      </c>
      <c r="B1134" s="58" t="s">
        <v>286</v>
      </c>
      <c r="C1134" s="58">
        <v>1</v>
      </c>
      <c r="D1134" s="58" t="s">
        <v>289</v>
      </c>
      <c r="E1134" s="58">
        <v>1</v>
      </c>
      <c r="F1134" s="58" t="s">
        <v>344</v>
      </c>
      <c r="G1134" s="58">
        <v>1</v>
      </c>
      <c r="H1134" s="58" t="s">
        <v>346</v>
      </c>
      <c r="I1134" s="58">
        <v>1</v>
      </c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</row>
    <row r="1135" spans="1:29" ht="20" customHeight="1">
      <c r="A1135" s="58" t="s">
        <v>189</v>
      </c>
      <c r="B1135" s="58" t="s">
        <v>286</v>
      </c>
      <c r="C1135" s="58">
        <v>1</v>
      </c>
      <c r="D1135" s="58" t="s">
        <v>289</v>
      </c>
      <c r="E1135" s="58">
        <v>1</v>
      </c>
      <c r="F1135" s="58" t="s">
        <v>344</v>
      </c>
      <c r="G1135" s="58">
        <v>1</v>
      </c>
      <c r="H1135" s="58" t="s">
        <v>346</v>
      </c>
      <c r="I1135" s="58">
        <v>1</v>
      </c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</row>
    <row r="1136" spans="1:29" ht="20" customHeight="1">
      <c r="A1136" s="58" t="s">
        <v>19</v>
      </c>
      <c r="B1136" s="58" t="s">
        <v>286</v>
      </c>
      <c r="C1136" s="58">
        <v>1</v>
      </c>
      <c r="D1136" s="58" t="s">
        <v>289</v>
      </c>
      <c r="E1136" s="58">
        <v>1</v>
      </c>
      <c r="F1136" s="58" t="s">
        <v>344</v>
      </c>
      <c r="G1136" s="58">
        <v>1</v>
      </c>
      <c r="H1136" s="58" t="s">
        <v>346</v>
      </c>
      <c r="I1136" s="58">
        <v>1</v>
      </c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</row>
    <row r="1137" spans="1:27" ht="20" customHeight="1">
      <c r="A1137" s="58" t="s">
        <v>75</v>
      </c>
      <c r="B1137" s="58" t="s">
        <v>286</v>
      </c>
      <c r="C1137" s="58">
        <v>1</v>
      </c>
      <c r="D1137" s="58" t="s">
        <v>289</v>
      </c>
      <c r="E1137" s="58">
        <v>1</v>
      </c>
      <c r="F1137" s="58" t="s">
        <v>344</v>
      </c>
      <c r="G1137" s="58">
        <v>1</v>
      </c>
      <c r="H1137" s="58" t="s">
        <v>346</v>
      </c>
      <c r="I1137" s="58">
        <v>1</v>
      </c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</row>
    <row r="1138" spans="1:27" ht="20" customHeight="1">
      <c r="A1138" s="58" t="s">
        <v>76</v>
      </c>
      <c r="B1138" s="58" t="s">
        <v>286</v>
      </c>
      <c r="C1138" s="58">
        <v>1</v>
      </c>
      <c r="D1138" s="58" t="s">
        <v>289</v>
      </c>
      <c r="E1138" s="58">
        <v>1</v>
      </c>
      <c r="F1138" s="58" t="s">
        <v>344</v>
      </c>
      <c r="G1138" s="58">
        <v>1</v>
      </c>
      <c r="H1138" s="58" t="s">
        <v>346</v>
      </c>
      <c r="I1138" s="58">
        <v>1</v>
      </c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</row>
    <row r="1139" spans="1:27" ht="20" customHeight="1">
      <c r="A1139" s="58" t="s">
        <v>452</v>
      </c>
      <c r="B1139" s="58" t="s">
        <v>286</v>
      </c>
      <c r="C1139" s="58">
        <v>1</v>
      </c>
      <c r="D1139" s="58" t="s">
        <v>289</v>
      </c>
      <c r="E1139" s="58">
        <v>1</v>
      </c>
      <c r="F1139" s="58" t="s">
        <v>344</v>
      </c>
      <c r="G1139" s="58">
        <v>1</v>
      </c>
      <c r="H1139" s="58" t="s">
        <v>346</v>
      </c>
      <c r="I1139" s="58">
        <v>1</v>
      </c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</row>
    <row r="1140" spans="1:27" ht="20" customHeight="1">
      <c r="A1140" s="58" t="s">
        <v>195</v>
      </c>
      <c r="B1140" s="58" t="s">
        <v>286</v>
      </c>
      <c r="C1140" s="58">
        <v>1</v>
      </c>
      <c r="D1140" s="58" t="s">
        <v>289</v>
      </c>
      <c r="E1140" s="58">
        <v>1</v>
      </c>
      <c r="F1140" s="58" t="s">
        <v>344</v>
      </c>
      <c r="G1140" s="58">
        <v>1</v>
      </c>
      <c r="H1140" s="58" t="s">
        <v>346</v>
      </c>
      <c r="I1140" s="58">
        <v>1</v>
      </c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</row>
    <row r="1141" spans="1:27" ht="20" customHeight="1">
      <c r="A1141" s="58" t="s">
        <v>197</v>
      </c>
      <c r="B1141" s="58" t="s">
        <v>286</v>
      </c>
      <c r="C1141" s="58">
        <v>1</v>
      </c>
      <c r="D1141" s="58" t="s">
        <v>289</v>
      </c>
      <c r="E1141" s="58">
        <v>1</v>
      </c>
      <c r="F1141" s="58" t="s">
        <v>344</v>
      </c>
      <c r="G1141" s="58">
        <v>1</v>
      </c>
      <c r="H1141" s="58" t="s">
        <v>346</v>
      </c>
      <c r="I1141" s="58">
        <v>1</v>
      </c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</row>
    <row r="1142" spans="1:27" ht="20" customHeight="1">
      <c r="A1142" s="58" t="s">
        <v>199</v>
      </c>
      <c r="B1142" s="58" t="s">
        <v>286</v>
      </c>
      <c r="C1142" s="58">
        <v>1</v>
      </c>
      <c r="D1142" s="58" t="s">
        <v>289</v>
      </c>
      <c r="E1142" s="58">
        <v>1</v>
      </c>
      <c r="F1142" s="58" t="s">
        <v>344</v>
      </c>
      <c r="G1142" s="58">
        <v>1</v>
      </c>
      <c r="H1142" s="58" t="s">
        <v>346</v>
      </c>
      <c r="I1142" s="58">
        <v>1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</row>
    <row r="1143" spans="1:27" ht="20" customHeight="1">
      <c r="A1143" s="58" t="s">
        <v>6</v>
      </c>
      <c r="B1143" s="58" t="s">
        <v>286</v>
      </c>
      <c r="C1143" s="58">
        <v>1</v>
      </c>
      <c r="D1143" s="58" t="s">
        <v>289</v>
      </c>
      <c r="E1143" s="58">
        <v>1</v>
      </c>
      <c r="F1143" s="58" t="s">
        <v>344</v>
      </c>
      <c r="G1143" s="58">
        <v>1</v>
      </c>
      <c r="H1143" s="58" t="s">
        <v>346</v>
      </c>
      <c r="I1143" s="58">
        <v>1</v>
      </c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</row>
    <row r="1144" spans="1:27" ht="20" customHeight="1">
      <c r="A1144" s="58" t="s">
        <v>20</v>
      </c>
      <c r="B1144" s="58" t="s">
        <v>286</v>
      </c>
      <c r="C1144" s="58">
        <v>1</v>
      </c>
      <c r="D1144" s="58" t="s">
        <v>289</v>
      </c>
      <c r="E1144" s="58">
        <v>1</v>
      </c>
      <c r="F1144" s="58" t="s">
        <v>344</v>
      </c>
      <c r="G1144" s="58">
        <v>1</v>
      </c>
      <c r="H1144" s="58" t="s">
        <v>346</v>
      </c>
      <c r="I1144" s="58">
        <v>1</v>
      </c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</row>
    <row r="1145" spans="1:27" ht="20" customHeight="1">
      <c r="A1145" s="58" t="s">
        <v>7</v>
      </c>
      <c r="B1145" s="58" t="s">
        <v>286</v>
      </c>
      <c r="C1145" s="58">
        <v>1</v>
      </c>
      <c r="D1145" s="58" t="s">
        <v>289</v>
      </c>
      <c r="E1145" s="58">
        <v>1</v>
      </c>
      <c r="F1145" s="58" t="s">
        <v>344</v>
      </c>
      <c r="G1145" s="58">
        <v>1</v>
      </c>
      <c r="H1145" s="58" t="s">
        <v>346</v>
      </c>
      <c r="I1145" s="58">
        <v>1</v>
      </c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</row>
    <row r="1146" spans="1:27" ht="20" customHeight="1">
      <c r="A1146" s="58" t="s">
        <v>204</v>
      </c>
      <c r="B1146" s="58" t="s">
        <v>349</v>
      </c>
      <c r="C1146" s="58">
        <v>2</v>
      </c>
      <c r="D1146" s="58" t="s">
        <v>350</v>
      </c>
      <c r="E1146" s="58">
        <v>1</v>
      </c>
      <c r="F1146" s="58" t="s">
        <v>351</v>
      </c>
      <c r="G1146" s="58">
        <v>1</v>
      </c>
      <c r="H1146" s="58"/>
      <c r="I1146" s="58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</row>
    <row r="1147" spans="1:27" ht="20" customHeight="1">
      <c r="A1147" s="58" t="s">
        <v>206</v>
      </c>
      <c r="B1147" s="58" t="s">
        <v>286</v>
      </c>
      <c r="C1147" s="58">
        <v>1</v>
      </c>
      <c r="D1147" s="58" t="s">
        <v>289</v>
      </c>
      <c r="E1147" s="58">
        <v>1</v>
      </c>
      <c r="F1147" s="58" t="s">
        <v>344</v>
      </c>
      <c r="G1147" s="58">
        <v>1</v>
      </c>
      <c r="H1147" s="58" t="s">
        <v>346</v>
      </c>
      <c r="I1147" s="58">
        <v>1</v>
      </c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</row>
    <row r="1148" spans="1:27" ht="20" customHeight="1">
      <c r="A1148" s="58" t="s">
        <v>208</v>
      </c>
      <c r="B1148" s="58" t="s">
        <v>286</v>
      </c>
      <c r="C1148" s="58">
        <v>1</v>
      </c>
      <c r="D1148" s="58" t="s">
        <v>289</v>
      </c>
      <c r="E1148" s="58">
        <v>1</v>
      </c>
      <c r="F1148" s="58" t="s">
        <v>344</v>
      </c>
      <c r="G1148" s="58">
        <v>1</v>
      </c>
      <c r="H1148" s="58" t="s">
        <v>346</v>
      </c>
      <c r="I1148" s="58">
        <v>1</v>
      </c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</row>
    <row r="1149" spans="1:27" ht="20" customHeight="1">
      <c r="A1149" s="58" t="s">
        <v>210</v>
      </c>
      <c r="B1149" s="58" t="s">
        <v>286</v>
      </c>
      <c r="C1149" s="58">
        <v>1</v>
      </c>
      <c r="D1149" s="58" t="s">
        <v>289</v>
      </c>
      <c r="E1149" s="58">
        <v>1</v>
      </c>
      <c r="F1149" s="58" t="s">
        <v>344</v>
      </c>
      <c r="G1149" s="58">
        <v>1</v>
      </c>
      <c r="H1149" s="58" t="s">
        <v>346</v>
      </c>
      <c r="I1149" s="58">
        <v>1</v>
      </c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</row>
    <row r="1150" spans="1:27" ht="20" customHeight="1">
      <c r="A1150" s="58" t="s">
        <v>212</v>
      </c>
      <c r="B1150" s="58" t="s">
        <v>286</v>
      </c>
      <c r="C1150" s="58">
        <v>1</v>
      </c>
      <c r="D1150" s="58" t="s">
        <v>289</v>
      </c>
      <c r="E1150" s="58">
        <v>1</v>
      </c>
      <c r="F1150" s="58" t="s">
        <v>344</v>
      </c>
      <c r="G1150" s="58">
        <v>1</v>
      </c>
      <c r="H1150" s="58" t="s">
        <v>346</v>
      </c>
      <c r="I1150" s="58">
        <v>1</v>
      </c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</row>
    <row r="1151" spans="1:27" ht="20" customHeight="1">
      <c r="A1151" s="58" t="s">
        <v>214</v>
      </c>
      <c r="B1151" s="58" t="s">
        <v>286</v>
      </c>
      <c r="C1151" s="58">
        <v>1</v>
      </c>
      <c r="D1151" s="58" t="s">
        <v>289</v>
      </c>
      <c r="E1151" s="58">
        <v>1</v>
      </c>
      <c r="F1151" s="58" t="s">
        <v>344</v>
      </c>
      <c r="G1151" s="58">
        <v>1</v>
      </c>
      <c r="H1151" s="58" t="s">
        <v>346</v>
      </c>
      <c r="I1151" s="58">
        <v>1</v>
      </c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</row>
    <row r="1152" spans="1:27" ht="20" customHeight="1">
      <c r="A1152" s="58" t="s">
        <v>18</v>
      </c>
      <c r="B1152" s="58" t="s">
        <v>286</v>
      </c>
      <c r="C1152" s="58">
        <v>1</v>
      </c>
      <c r="D1152" s="58" t="s">
        <v>289</v>
      </c>
      <c r="E1152" s="58">
        <v>1</v>
      </c>
      <c r="F1152" s="58" t="s">
        <v>344</v>
      </c>
      <c r="G1152" s="58">
        <v>1</v>
      </c>
      <c r="H1152" s="58" t="s">
        <v>346</v>
      </c>
      <c r="I1152" s="58">
        <v>1</v>
      </c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</row>
    <row r="1153" spans="1:27" ht="20" customHeight="1">
      <c r="A1153" s="58" t="s">
        <v>217</v>
      </c>
      <c r="B1153" s="58" t="s">
        <v>286</v>
      </c>
      <c r="C1153" s="58">
        <v>4</v>
      </c>
      <c r="D1153" s="58" t="s">
        <v>289</v>
      </c>
      <c r="E1153" s="58">
        <v>2</v>
      </c>
      <c r="F1153" s="58" t="s">
        <v>348</v>
      </c>
      <c r="G1153" s="58">
        <v>1</v>
      </c>
      <c r="H1153" s="58"/>
      <c r="I1153" s="58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</row>
    <row r="1154" spans="1:27" ht="20" customHeight="1">
      <c r="A1154" s="58" t="s">
        <v>272</v>
      </c>
      <c r="B1154" s="58" t="s">
        <v>286</v>
      </c>
      <c r="C1154" s="58">
        <v>1</v>
      </c>
      <c r="D1154" s="58" t="s">
        <v>289</v>
      </c>
      <c r="E1154" s="58">
        <v>1</v>
      </c>
      <c r="F1154" s="58" t="s">
        <v>344</v>
      </c>
      <c r="G1154" s="58">
        <v>1</v>
      </c>
      <c r="H1154" s="58" t="s">
        <v>346</v>
      </c>
      <c r="I1154" s="58">
        <v>1</v>
      </c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</row>
    <row r="1155" spans="1:27" ht="20" customHeight="1">
      <c r="A1155" s="58" t="s">
        <v>288</v>
      </c>
      <c r="B1155" s="58" t="s">
        <v>286</v>
      </c>
      <c r="C1155" s="58">
        <v>1</v>
      </c>
      <c r="D1155" s="58" t="s">
        <v>289</v>
      </c>
      <c r="E1155" s="58">
        <v>1</v>
      </c>
      <c r="F1155" s="58" t="s">
        <v>344</v>
      </c>
      <c r="G1155" s="58">
        <v>1</v>
      </c>
      <c r="H1155" s="58" t="s">
        <v>346</v>
      </c>
      <c r="I1155" s="58">
        <v>1</v>
      </c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</row>
    <row r="1156" spans="1:27" ht="20" customHeight="1">
      <c r="A1156" s="58" t="s">
        <v>40</v>
      </c>
      <c r="B1156" s="58" t="s">
        <v>286</v>
      </c>
      <c r="C1156" s="58">
        <v>1</v>
      </c>
      <c r="D1156" s="58" t="s">
        <v>289</v>
      </c>
      <c r="E1156" s="58">
        <v>1</v>
      </c>
      <c r="F1156" s="58" t="s">
        <v>344</v>
      </c>
      <c r="G1156" s="58">
        <v>1</v>
      </c>
      <c r="H1156" s="58" t="s">
        <v>346</v>
      </c>
      <c r="I1156" s="58">
        <v>1</v>
      </c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</row>
    <row r="1157" spans="1:27" ht="20" customHeight="1">
      <c r="A1157" s="58" t="s">
        <v>70</v>
      </c>
      <c r="B1157" s="58" t="s">
        <v>286</v>
      </c>
      <c r="C1157" s="58">
        <v>1</v>
      </c>
      <c r="D1157" s="58" t="s">
        <v>289</v>
      </c>
      <c r="E1157" s="58">
        <v>1</v>
      </c>
      <c r="F1157" s="58" t="s">
        <v>344</v>
      </c>
      <c r="G1157" s="58">
        <v>1</v>
      </c>
      <c r="H1157" s="58" t="s">
        <v>346</v>
      </c>
      <c r="I1157" s="58">
        <v>1</v>
      </c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</row>
    <row r="1158" spans="1:27" ht="20" customHeight="1">
      <c r="A1158" s="58" t="s">
        <v>57</v>
      </c>
      <c r="B1158" s="58" t="s">
        <v>286</v>
      </c>
      <c r="C1158" s="58">
        <v>1</v>
      </c>
      <c r="D1158" s="58" t="s">
        <v>289</v>
      </c>
      <c r="E1158" s="58">
        <v>1</v>
      </c>
      <c r="F1158" s="58" t="s">
        <v>344</v>
      </c>
      <c r="G1158" s="58">
        <v>1</v>
      </c>
      <c r="H1158" s="58" t="s">
        <v>346</v>
      </c>
      <c r="I1158" s="58">
        <v>1</v>
      </c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</row>
    <row r="1159" spans="1:27" ht="20" customHeight="1">
      <c r="A1159" s="58" t="s">
        <v>52</v>
      </c>
      <c r="B1159" s="58" t="s">
        <v>286</v>
      </c>
      <c r="C1159" s="58">
        <v>1</v>
      </c>
      <c r="D1159" s="58" t="s">
        <v>289</v>
      </c>
      <c r="E1159" s="58">
        <v>1</v>
      </c>
      <c r="F1159" s="58" t="s">
        <v>344</v>
      </c>
      <c r="G1159" s="58">
        <v>1</v>
      </c>
      <c r="H1159" s="58" t="s">
        <v>346</v>
      </c>
      <c r="I1159" s="58">
        <v>1</v>
      </c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</row>
    <row r="1168" spans="1:27" ht="20" customHeight="1">
      <c r="B1168" s="196"/>
    </row>
    <row r="1169" spans="1:37" ht="35" customHeight="1">
      <c r="D1169" s="379" t="s">
        <v>402</v>
      </c>
      <c r="E1169" s="379"/>
      <c r="F1169" s="379"/>
      <c r="G1169" s="379"/>
    </row>
    <row r="1170" spans="1:37" ht="20" customHeight="1">
      <c r="A1170" s="71" t="s">
        <v>145</v>
      </c>
      <c r="B1170" s="71" t="s">
        <v>77</v>
      </c>
      <c r="C1170" s="57"/>
      <c r="D1170" s="71" t="s">
        <v>145</v>
      </c>
      <c r="E1170" s="71" t="s">
        <v>226</v>
      </c>
      <c r="F1170" s="57"/>
      <c r="G1170" s="71" t="s">
        <v>145</v>
      </c>
      <c r="H1170" s="71" t="s">
        <v>226</v>
      </c>
      <c r="I1170" s="57"/>
      <c r="J1170" s="57"/>
      <c r="K1170" s="71" t="s">
        <v>145</v>
      </c>
      <c r="L1170" s="71" t="s">
        <v>226</v>
      </c>
      <c r="M1170" s="57"/>
      <c r="N1170" s="71" t="s">
        <v>145</v>
      </c>
      <c r="O1170" s="63" t="s">
        <v>280</v>
      </c>
      <c r="P1170" s="57"/>
      <c r="Q1170" s="71" t="s">
        <v>145</v>
      </c>
      <c r="R1170" s="82" t="s">
        <v>282</v>
      </c>
      <c r="S1170" s="57"/>
      <c r="T1170" s="71" t="s">
        <v>145</v>
      </c>
      <c r="U1170" s="63" t="s">
        <v>310</v>
      </c>
      <c r="V1170" s="57"/>
      <c r="W1170" s="71" t="s">
        <v>145</v>
      </c>
      <c r="X1170" s="63" t="s">
        <v>311</v>
      </c>
      <c r="Y1170" s="57"/>
      <c r="Z1170" s="71" t="s">
        <v>145</v>
      </c>
      <c r="AA1170" s="172" t="s">
        <v>359</v>
      </c>
      <c r="AB1170" s="57"/>
      <c r="AC1170" s="71" t="s">
        <v>145</v>
      </c>
      <c r="AD1170" s="63" t="s">
        <v>329</v>
      </c>
      <c r="AE1170" s="57"/>
      <c r="AF1170" s="71" t="s">
        <v>145</v>
      </c>
      <c r="AG1170" s="63" t="s">
        <v>319</v>
      </c>
      <c r="AJ1170" s="71" t="s">
        <v>145</v>
      </c>
      <c r="AK1170" s="267" t="s">
        <v>381</v>
      </c>
    </row>
    <row r="1171" spans="1:37" ht="20" customHeight="1">
      <c r="A1171" s="61">
        <v>1</v>
      </c>
      <c r="B1171" s="58" t="s">
        <v>366</v>
      </c>
      <c r="C1171" s="57"/>
      <c r="D1171" s="58">
        <v>1</v>
      </c>
      <c r="E1171" s="58" t="s">
        <v>260</v>
      </c>
      <c r="F1171" s="57"/>
      <c r="G1171" s="58">
        <v>1</v>
      </c>
      <c r="H1171" s="58" t="s">
        <v>263</v>
      </c>
      <c r="I1171" s="57"/>
      <c r="J1171" s="57"/>
      <c r="K1171" s="58">
        <v>1</v>
      </c>
      <c r="L1171" s="91" t="s">
        <v>371</v>
      </c>
      <c r="M1171" s="57"/>
      <c r="N1171" s="58">
        <v>1</v>
      </c>
      <c r="O1171" s="58">
        <v>2</v>
      </c>
      <c r="P1171" s="57"/>
      <c r="Q1171" s="58">
        <v>1</v>
      </c>
      <c r="R1171" s="58">
        <v>0</v>
      </c>
      <c r="S1171" s="57"/>
      <c r="T1171" s="58">
        <v>1</v>
      </c>
      <c r="U1171" s="58">
        <v>1</v>
      </c>
      <c r="V1171" s="57"/>
      <c r="W1171" s="58">
        <v>1</v>
      </c>
      <c r="X1171" s="58" t="s">
        <v>312</v>
      </c>
      <c r="Y1171" s="57"/>
      <c r="Z1171" s="58">
        <v>1</v>
      </c>
      <c r="AA1171" s="58" t="s">
        <v>360</v>
      </c>
      <c r="AB1171" s="57"/>
      <c r="AC1171" s="58">
        <v>1</v>
      </c>
      <c r="AD1171" s="58" t="s">
        <v>330</v>
      </c>
      <c r="AE1171" s="57"/>
      <c r="AF1171" s="58">
        <v>1</v>
      </c>
      <c r="AG1171" s="58" t="s">
        <v>320</v>
      </c>
      <c r="AJ1171" s="80">
        <v>1</v>
      </c>
      <c r="AK1171" s="80">
        <v>0</v>
      </c>
    </row>
    <row r="1172" spans="1:37" ht="20" customHeight="1">
      <c r="A1172" s="61">
        <v>2</v>
      </c>
      <c r="B1172" s="58" t="s">
        <v>84</v>
      </c>
      <c r="C1172" s="57"/>
      <c r="D1172" s="58">
        <f>+D1171+1</f>
        <v>2</v>
      </c>
      <c r="E1172" s="58" t="s">
        <v>235</v>
      </c>
      <c r="F1172" s="57"/>
      <c r="G1172" s="58">
        <v>2</v>
      </c>
      <c r="H1172" s="58" t="s">
        <v>264</v>
      </c>
      <c r="I1172" s="57"/>
      <c r="J1172" s="57"/>
      <c r="K1172" s="58">
        <f t="shared" ref="K1172:K1196" si="119">+K1171+1</f>
        <v>2</v>
      </c>
      <c r="L1172" s="91" t="s">
        <v>372</v>
      </c>
      <c r="M1172" s="57"/>
      <c r="N1172" s="58">
        <f>+N1171+1</f>
        <v>2</v>
      </c>
      <c r="O1172" s="58">
        <v>1</v>
      </c>
      <c r="P1172" s="57"/>
      <c r="Q1172" s="58">
        <f t="shared" ref="Q1172:Q1203" si="120">+Q1171+1</f>
        <v>2</v>
      </c>
      <c r="R1172" s="58">
        <v>1</v>
      </c>
      <c r="S1172" s="57"/>
      <c r="T1172" s="58">
        <f t="shared" ref="T1172:T1179" si="121">+T1171+1</f>
        <v>2</v>
      </c>
      <c r="U1172" s="58">
        <v>5</v>
      </c>
      <c r="V1172" s="57"/>
      <c r="W1172" s="58">
        <f>+W1171+1</f>
        <v>2</v>
      </c>
      <c r="X1172" s="58" t="s">
        <v>313</v>
      </c>
      <c r="Y1172" s="57"/>
      <c r="Z1172" s="58">
        <f>+Z1171+1</f>
        <v>2</v>
      </c>
      <c r="AA1172" s="58" t="s">
        <v>361</v>
      </c>
      <c r="AB1172" s="57"/>
      <c r="AC1172" s="58">
        <f>+AC1171+1</f>
        <v>2</v>
      </c>
      <c r="AD1172" s="58" t="s">
        <v>331</v>
      </c>
      <c r="AE1172" s="57"/>
      <c r="AF1172" s="58">
        <f>+AF1171+1</f>
        <v>2</v>
      </c>
      <c r="AG1172" s="58" t="s">
        <v>336</v>
      </c>
      <c r="AJ1172" s="80">
        <v>2</v>
      </c>
      <c r="AK1172" s="80">
        <v>95</v>
      </c>
    </row>
    <row r="1173" spans="1:37" ht="20" customHeight="1">
      <c r="A1173" s="61">
        <v>3</v>
      </c>
      <c r="B1173" s="58" t="s">
        <v>78</v>
      </c>
      <c r="C1173" s="57"/>
      <c r="D1173" s="58">
        <f>+D1172+1</f>
        <v>3</v>
      </c>
      <c r="E1173" s="58" t="s">
        <v>440</v>
      </c>
      <c r="F1173" s="57"/>
      <c r="G1173" s="58">
        <v>3</v>
      </c>
      <c r="H1173" s="58" t="s">
        <v>265</v>
      </c>
      <c r="I1173" s="57"/>
      <c r="J1173" s="57"/>
      <c r="K1173" s="58">
        <f t="shared" si="119"/>
        <v>3</v>
      </c>
      <c r="L1173" s="91" t="s">
        <v>373</v>
      </c>
      <c r="M1173" s="57"/>
      <c r="N1173" s="58">
        <f>+N1172+1</f>
        <v>3</v>
      </c>
      <c r="O1173" s="58">
        <v>4</v>
      </c>
      <c r="P1173" s="57"/>
      <c r="Q1173" s="58">
        <f t="shared" si="120"/>
        <v>3</v>
      </c>
      <c r="R1173" s="58">
        <f t="shared" ref="R1173:R1204" si="122">+R1172+1</f>
        <v>2</v>
      </c>
      <c r="S1173" s="57"/>
      <c r="T1173" s="58">
        <f t="shared" si="121"/>
        <v>3</v>
      </c>
      <c r="U1173" s="58">
        <v>10</v>
      </c>
      <c r="V1173" s="57"/>
      <c r="W1173" s="57"/>
      <c r="X1173" s="57"/>
      <c r="Y1173" s="57"/>
      <c r="Z1173" s="57"/>
      <c r="AA1173" s="57"/>
      <c r="AB1173" s="57"/>
      <c r="AC1173" s="57"/>
      <c r="AD1173" s="57"/>
      <c r="AE1173" s="57"/>
      <c r="AF1173" s="57"/>
      <c r="AG1173" s="57"/>
      <c r="AJ1173" s="80">
        <v>3</v>
      </c>
      <c r="AK1173" s="80">
        <v>127</v>
      </c>
    </row>
    <row r="1174" spans="1:37" ht="20" customHeight="1">
      <c r="A1174" s="61">
        <v>4</v>
      </c>
      <c r="B1174" s="58" t="s">
        <v>100</v>
      </c>
      <c r="C1174" s="57"/>
      <c r="D1174" s="58">
        <f>+D1173+1</f>
        <v>4</v>
      </c>
      <c r="E1174" s="58" t="s">
        <v>441</v>
      </c>
      <c r="F1174" s="57"/>
      <c r="G1174" s="58">
        <v>4</v>
      </c>
      <c r="H1174" s="58" t="s">
        <v>444</v>
      </c>
      <c r="I1174" s="57"/>
      <c r="J1174" s="57"/>
      <c r="K1174" s="58">
        <f t="shared" si="119"/>
        <v>4</v>
      </c>
      <c r="L1174" s="91" t="s">
        <v>374</v>
      </c>
      <c r="M1174" s="57"/>
      <c r="N1174" s="58">
        <f>+N1173+1</f>
        <v>4</v>
      </c>
      <c r="O1174" s="58">
        <v>10</v>
      </c>
      <c r="P1174" s="57"/>
      <c r="Q1174" s="58">
        <f t="shared" si="120"/>
        <v>4</v>
      </c>
      <c r="R1174" s="58">
        <f t="shared" si="122"/>
        <v>3</v>
      </c>
      <c r="S1174" s="57"/>
      <c r="T1174" s="58">
        <f t="shared" si="121"/>
        <v>4</v>
      </c>
      <c r="U1174" s="85">
        <v>15</v>
      </c>
      <c r="V1174" s="57"/>
      <c r="W1174" s="57"/>
      <c r="X1174" s="57"/>
      <c r="Y1174" s="57"/>
      <c r="Z1174" s="57"/>
      <c r="AA1174" s="57"/>
      <c r="AB1174" s="57"/>
      <c r="AC1174" s="57"/>
      <c r="AD1174" s="57"/>
      <c r="AE1174" s="57"/>
      <c r="AF1174" s="57"/>
      <c r="AG1174" s="57"/>
    </row>
    <row r="1175" spans="1:37" ht="20" customHeight="1">
      <c r="A1175" s="61">
        <v>5</v>
      </c>
      <c r="B1175" s="58" t="s">
        <v>85</v>
      </c>
      <c r="C1175" s="57"/>
      <c r="D1175" s="58">
        <f>+D1174+1</f>
        <v>5</v>
      </c>
      <c r="E1175" s="58" t="s">
        <v>261</v>
      </c>
      <c r="F1175" s="57"/>
      <c r="G1175" s="58">
        <v>5</v>
      </c>
      <c r="H1175" s="58" t="s">
        <v>266</v>
      </c>
      <c r="I1175" s="57"/>
      <c r="J1175" s="57"/>
      <c r="K1175" s="58">
        <f t="shared" si="119"/>
        <v>5</v>
      </c>
      <c r="L1175" s="91" t="s">
        <v>375</v>
      </c>
      <c r="M1175" s="57"/>
      <c r="N1175" s="58">
        <f>+N1174+1</f>
        <v>5</v>
      </c>
      <c r="O1175" s="58">
        <v>20</v>
      </c>
      <c r="P1175" s="57"/>
      <c r="Q1175" s="58">
        <f t="shared" si="120"/>
        <v>5</v>
      </c>
      <c r="R1175" s="58">
        <f t="shared" si="122"/>
        <v>4</v>
      </c>
      <c r="S1175" s="57"/>
      <c r="T1175" s="58">
        <f t="shared" si="121"/>
        <v>5</v>
      </c>
      <c r="U1175" s="58">
        <v>25</v>
      </c>
      <c r="V1175" s="57"/>
      <c r="W1175" s="57"/>
      <c r="X1175" s="57"/>
      <c r="Y1175" s="57"/>
      <c r="Z1175" s="57"/>
      <c r="AA1175" s="57"/>
      <c r="AB1175" s="57"/>
      <c r="AC1175" s="57"/>
      <c r="AD1175" s="57"/>
      <c r="AE1175" s="57"/>
      <c r="AF1175" s="57"/>
      <c r="AG1175" s="57"/>
    </row>
    <row r="1176" spans="1:37" ht="20" customHeight="1">
      <c r="A1176" s="61">
        <v>6</v>
      </c>
      <c r="B1176" s="58" t="s">
        <v>83</v>
      </c>
      <c r="C1176" s="57"/>
      <c r="D1176" s="58">
        <f>+D1175+1</f>
        <v>6</v>
      </c>
      <c r="E1176" s="58" t="s">
        <v>262</v>
      </c>
      <c r="F1176" s="57"/>
      <c r="G1176" s="58">
        <v>6</v>
      </c>
      <c r="H1176" s="58" t="s">
        <v>267</v>
      </c>
      <c r="I1176" s="57"/>
      <c r="J1176" s="57"/>
      <c r="K1176" s="58">
        <f t="shared" si="119"/>
        <v>6</v>
      </c>
      <c r="L1176" s="91" t="s">
        <v>376</v>
      </c>
      <c r="M1176" s="57"/>
      <c r="N1176" s="58">
        <f>+N1175+1</f>
        <v>6</v>
      </c>
      <c r="O1176" s="58">
        <v>40</v>
      </c>
      <c r="P1176" s="57"/>
      <c r="Q1176" s="58">
        <f t="shared" si="120"/>
        <v>6</v>
      </c>
      <c r="R1176" s="58">
        <f t="shared" si="122"/>
        <v>5</v>
      </c>
      <c r="S1176" s="57"/>
      <c r="T1176" s="58">
        <f t="shared" si="121"/>
        <v>6</v>
      </c>
      <c r="U1176" s="58">
        <v>50</v>
      </c>
      <c r="V1176" s="57"/>
      <c r="W1176" s="57"/>
      <c r="X1176" s="57"/>
      <c r="Y1176" s="57"/>
      <c r="Z1176" s="57"/>
      <c r="AA1176" s="57"/>
      <c r="AB1176" s="57"/>
      <c r="AC1176" s="57"/>
      <c r="AD1176" s="57"/>
      <c r="AE1176" s="57"/>
      <c r="AF1176" s="57"/>
      <c r="AG1176" s="57"/>
    </row>
    <row r="1177" spans="1:37" ht="20" customHeight="1">
      <c r="A1177" s="61">
        <v>7</v>
      </c>
      <c r="B1177" s="58" t="s">
        <v>296</v>
      </c>
      <c r="C1177" s="57"/>
      <c r="D1177" s="57"/>
      <c r="E1177" s="57"/>
      <c r="F1177" s="57"/>
      <c r="G1177" s="58">
        <v>7</v>
      </c>
      <c r="H1177" s="58" t="s">
        <v>268</v>
      </c>
      <c r="I1177" s="57"/>
      <c r="J1177" s="57"/>
      <c r="K1177" s="58">
        <f t="shared" si="119"/>
        <v>7</v>
      </c>
      <c r="L1177" s="58" t="s">
        <v>238</v>
      </c>
      <c r="M1177" s="57"/>
      <c r="N1177" s="57"/>
      <c r="O1177" s="57"/>
      <c r="P1177" s="57"/>
      <c r="Q1177" s="58">
        <f t="shared" si="120"/>
        <v>7</v>
      </c>
      <c r="R1177" s="58">
        <f t="shared" si="122"/>
        <v>6</v>
      </c>
      <c r="S1177" s="57"/>
      <c r="T1177" s="58">
        <f t="shared" si="121"/>
        <v>7</v>
      </c>
      <c r="U1177" s="58">
        <v>100</v>
      </c>
      <c r="V1177" s="57"/>
      <c r="W1177" s="57"/>
      <c r="X1177" s="57"/>
      <c r="Y1177" s="57"/>
      <c r="Z1177" s="57"/>
      <c r="AA1177" s="57"/>
      <c r="AB1177" s="57"/>
      <c r="AC1177" s="57"/>
      <c r="AD1177" s="57"/>
      <c r="AE1177" s="57"/>
      <c r="AF1177" s="57"/>
      <c r="AG1177" s="57"/>
    </row>
    <row r="1178" spans="1:37" ht="20" customHeight="1">
      <c r="A1178" s="61">
        <v>8</v>
      </c>
      <c r="B1178" s="58" t="s">
        <v>364</v>
      </c>
      <c r="C1178" s="57"/>
      <c r="D1178" s="57"/>
      <c r="E1178" s="57"/>
      <c r="F1178" s="57"/>
      <c r="G1178" s="58">
        <v>8</v>
      </c>
      <c r="H1178" s="58" t="s">
        <v>443</v>
      </c>
      <c r="I1178" s="57"/>
      <c r="J1178" s="57"/>
      <c r="K1178" s="58">
        <f t="shared" si="119"/>
        <v>8</v>
      </c>
      <c r="L1178" s="58" t="s">
        <v>239</v>
      </c>
      <c r="M1178" s="57"/>
      <c r="N1178" s="57"/>
      <c r="O1178" s="57"/>
      <c r="P1178" s="57"/>
      <c r="Q1178" s="58">
        <f t="shared" si="120"/>
        <v>8</v>
      </c>
      <c r="R1178" s="58">
        <f t="shared" si="122"/>
        <v>7</v>
      </c>
      <c r="S1178" s="57"/>
      <c r="T1178" s="58">
        <f t="shared" si="121"/>
        <v>8</v>
      </c>
      <c r="U1178" s="58">
        <v>250</v>
      </c>
      <c r="V1178" s="57"/>
      <c r="W1178" s="57"/>
      <c r="X1178" s="57"/>
      <c r="Y1178" s="57"/>
      <c r="Z1178" s="57"/>
      <c r="AA1178" s="57"/>
      <c r="AB1178" s="57"/>
      <c r="AC1178" s="57"/>
      <c r="AD1178" s="57"/>
      <c r="AE1178" s="57"/>
      <c r="AF1178" s="57"/>
      <c r="AG1178" s="57"/>
    </row>
    <row r="1179" spans="1:37" ht="20" customHeight="1">
      <c r="A1179" s="61">
        <v>9</v>
      </c>
      <c r="B1179" s="58" t="s">
        <v>146</v>
      </c>
      <c r="C1179" s="57"/>
      <c r="D1179" s="57"/>
      <c r="E1179" s="57"/>
      <c r="F1179" s="57"/>
      <c r="G1179" s="58">
        <v>9</v>
      </c>
      <c r="H1179" s="58" t="s">
        <v>269</v>
      </c>
      <c r="I1179" s="57"/>
      <c r="J1179" s="57"/>
      <c r="K1179" s="58">
        <f t="shared" si="119"/>
        <v>9</v>
      </c>
      <c r="L1179" s="58" t="s">
        <v>240</v>
      </c>
      <c r="M1179" s="57"/>
      <c r="N1179" s="57"/>
      <c r="O1179" s="57"/>
      <c r="P1179" s="57"/>
      <c r="Q1179" s="58">
        <f t="shared" si="120"/>
        <v>9</v>
      </c>
      <c r="R1179" s="58">
        <f t="shared" si="122"/>
        <v>8</v>
      </c>
      <c r="S1179" s="57"/>
      <c r="T1179" s="58">
        <f t="shared" si="121"/>
        <v>9</v>
      </c>
      <c r="U1179" s="58">
        <v>500</v>
      </c>
      <c r="V1179" s="57"/>
      <c r="W1179" s="57"/>
      <c r="X1179" s="57"/>
      <c r="Y1179" s="57"/>
      <c r="Z1179" s="57"/>
      <c r="AA1179" s="57"/>
      <c r="AB1179" s="57"/>
      <c r="AC1179" s="57"/>
      <c r="AD1179" s="57"/>
      <c r="AE1179" s="57"/>
      <c r="AF1179" s="57"/>
      <c r="AG1179" s="57"/>
    </row>
    <row r="1180" spans="1:37" ht="20" customHeight="1">
      <c r="A1180" s="61">
        <v>10</v>
      </c>
      <c r="B1180" s="58" t="s">
        <v>116</v>
      </c>
      <c r="C1180" s="57"/>
      <c r="D1180" s="57"/>
      <c r="E1180" s="57"/>
      <c r="F1180" s="57"/>
      <c r="G1180" s="58">
        <v>10</v>
      </c>
      <c r="H1180" s="58" t="s">
        <v>295</v>
      </c>
      <c r="I1180" s="57"/>
      <c r="J1180" s="57"/>
      <c r="K1180" s="58">
        <f t="shared" si="119"/>
        <v>10</v>
      </c>
      <c r="L1180" s="58" t="s">
        <v>241</v>
      </c>
      <c r="M1180" s="57"/>
      <c r="N1180" s="57"/>
      <c r="O1180" s="57"/>
      <c r="P1180" s="57"/>
      <c r="Q1180" s="58">
        <f t="shared" si="120"/>
        <v>10</v>
      </c>
      <c r="R1180" s="58">
        <f t="shared" si="122"/>
        <v>9</v>
      </c>
      <c r="S1180" s="57"/>
      <c r="T1180" s="58">
        <v>10</v>
      </c>
      <c r="U1180" s="58">
        <v>1000</v>
      </c>
      <c r="V1180" s="57"/>
      <c r="W1180" s="57"/>
      <c r="X1180" s="57"/>
      <c r="Y1180" s="57"/>
      <c r="Z1180" s="57"/>
      <c r="AA1180" s="57"/>
      <c r="AB1180" s="57"/>
      <c r="AC1180" s="57"/>
      <c r="AD1180" s="57"/>
      <c r="AE1180" s="57"/>
      <c r="AF1180" s="57"/>
      <c r="AG1180" s="57"/>
    </row>
    <row r="1181" spans="1:37" ht="20" customHeight="1">
      <c r="A1181" s="61">
        <v>11</v>
      </c>
      <c r="B1181" s="58" t="s">
        <v>79</v>
      </c>
      <c r="C1181" s="57"/>
      <c r="D1181" s="57"/>
      <c r="E1181" s="57"/>
      <c r="F1181" s="57"/>
      <c r="G1181" s="57"/>
      <c r="H1181" s="57"/>
      <c r="I1181" s="57"/>
      <c r="J1181" s="57"/>
      <c r="K1181" s="58">
        <f t="shared" si="119"/>
        <v>11</v>
      </c>
      <c r="L1181" s="58" t="s">
        <v>242</v>
      </c>
      <c r="M1181" s="57"/>
      <c r="N1181" s="57"/>
      <c r="O1181" s="57"/>
      <c r="P1181" s="57"/>
      <c r="Q1181" s="58">
        <f t="shared" si="120"/>
        <v>11</v>
      </c>
      <c r="R1181" s="58">
        <f t="shared" si="122"/>
        <v>10</v>
      </c>
      <c r="S1181" s="57"/>
      <c r="T1181" s="57"/>
      <c r="U1181" s="57"/>
      <c r="V1181" s="57"/>
      <c r="W1181" s="57"/>
      <c r="X1181" s="57"/>
      <c r="Y1181" s="57"/>
      <c r="Z1181" s="57"/>
      <c r="AA1181" s="57"/>
      <c r="AB1181" s="57"/>
      <c r="AC1181" s="57"/>
      <c r="AD1181" s="57"/>
      <c r="AE1181" s="57"/>
      <c r="AF1181" s="57"/>
      <c r="AG1181" s="57"/>
    </row>
    <row r="1182" spans="1:37" ht="20" customHeight="1">
      <c r="A1182" s="61">
        <v>12</v>
      </c>
      <c r="B1182" s="58" t="s">
        <v>546</v>
      </c>
      <c r="C1182" s="57"/>
      <c r="D1182" s="57"/>
      <c r="E1182" s="57"/>
      <c r="F1182" s="57"/>
      <c r="G1182" s="57"/>
      <c r="H1182" s="57"/>
      <c r="I1182" s="57"/>
      <c r="J1182" s="57"/>
      <c r="K1182" s="58">
        <f t="shared" si="119"/>
        <v>12</v>
      </c>
      <c r="L1182" s="58" t="s">
        <v>243</v>
      </c>
      <c r="M1182" s="57"/>
      <c r="N1182" s="57"/>
      <c r="O1182" s="57"/>
      <c r="P1182" s="57"/>
      <c r="Q1182" s="58">
        <f t="shared" si="120"/>
        <v>12</v>
      </c>
      <c r="R1182" s="58">
        <f t="shared" si="122"/>
        <v>11</v>
      </c>
      <c r="S1182" s="57"/>
      <c r="T1182" s="57"/>
      <c r="U1182" s="57"/>
      <c r="V1182" s="57"/>
      <c r="W1182" s="57"/>
      <c r="X1182" s="57"/>
      <c r="Y1182" s="57"/>
      <c r="Z1182" s="57"/>
      <c r="AA1182" s="57"/>
      <c r="AB1182" s="57"/>
      <c r="AC1182" s="57"/>
      <c r="AD1182" s="57"/>
      <c r="AE1182" s="57"/>
      <c r="AF1182" s="57"/>
      <c r="AG1182" s="57"/>
    </row>
    <row r="1183" spans="1:37" ht="20" customHeight="1">
      <c r="A1183" s="61">
        <v>13</v>
      </c>
      <c r="B1183" s="58" t="s">
        <v>404</v>
      </c>
      <c r="C1183" s="57"/>
      <c r="D1183" s="57"/>
      <c r="E1183" s="57"/>
      <c r="F1183" s="57"/>
      <c r="G1183" s="57"/>
      <c r="H1183" s="57"/>
      <c r="I1183" s="57"/>
      <c r="J1183" s="57"/>
      <c r="K1183" s="58">
        <f t="shared" si="119"/>
        <v>13</v>
      </c>
      <c r="L1183" s="58" t="s">
        <v>244</v>
      </c>
      <c r="M1183" s="57"/>
      <c r="N1183" s="57"/>
      <c r="O1183" s="57"/>
      <c r="P1183" s="57"/>
      <c r="Q1183" s="58">
        <f t="shared" si="120"/>
        <v>13</v>
      </c>
      <c r="R1183" s="58">
        <f t="shared" si="122"/>
        <v>12</v>
      </c>
      <c r="S1183" s="57"/>
      <c r="T1183" s="57"/>
      <c r="U1183" s="57"/>
      <c r="V1183" s="57"/>
      <c r="W1183" s="57"/>
      <c r="X1183" s="57"/>
      <c r="Y1183" s="57"/>
      <c r="Z1183" s="57"/>
      <c r="AA1183" s="57"/>
      <c r="AB1183" s="57"/>
      <c r="AC1183" s="57"/>
      <c r="AD1183" s="57"/>
      <c r="AE1183" s="57"/>
      <c r="AF1183" s="57"/>
      <c r="AG1183" s="57"/>
    </row>
    <row r="1184" spans="1:37" ht="20" customHeight="1">
      <c r="A1184" s="61">
        <v>14</v>
      </c>
      <c r="B1184" s="58" t="s">
        <v>93</v>
      </c>
      <c r="C1184" s="57"/>
      <c r="D1184" s="57"/>
      <c r="E1184" s="57"/>
      <c r="F1184" s="57"/>
      <c r="G1184" s="57"/>
      <c r="H1184" s="57"/>
      <c r="I1184" s="57"/>
      <c r="J1184" s="57"/>
      <c r="K1184" s="58">
        <f t="shared" si="119"/>
        <v>14</v>
      </c>
      <c r="L1184" s="58" t="s">
        <v>245</v>
      </c>
      <c r="M1184" s="57"/>
      <c r="N1184" s="57"/>
      <c r="O1184" s="57"/>
      <c r="P1184" s="57"/>
      <c r="Q1184" s="58">
        <f t="shared" si="120"/>
        <v>14</v>
      </c>
      <c r="R1184" s="58">
        <f t="shared" si="122"/>
        <v>13</v>
      </c>
      <c r="S1184" s="57"/>
      <c r="T1184" s="57"/>
      <c r="U1184" s="57"/>
      <c r="V1184" s="57"/>
      <c r="W1184" s="57"/>
      <c r="X1184" s="57"/>
      <c r="Y1184" s="57"/>
      <c r="Z1184" s="57"/>
      <c r="AA1184" s="57"/>
      <c r="AB1184" s="57"/>
      <c r="AC1184" s="57"/>
      <c r="AD1184" s="57"/>
      <c r="AE1184" s="57"/>
      <c r="AF1184" s="57"/>
      <c r="AG1184" s="57"/>
    </row>
    <row r="1185" spans="1:33" ht="20" customHeight="1">
      <c r="A1185" s="61">
        <v>15</v>
      </c>
      <c r="B1185" s="58" t="s">
        <v>370</v>
      </c>
      <c r="C1185" s="57"/>
      <c r="D1185" s="57"/>
      <c r="E1185" s="57"/>
      <c r="F1185" s="57"/>
      <c r="G1185" s="57"/>
      <c r="H1185" s="57"/>
      <c r="I1185" s="57"/>
      <c r="J1185" s="57"/>
      <c r="K1185" s="58">
        <f t="shared" si="119"/>
        <v>15</v>
      </c>
      <c r="L1185" s="58" t="s">
        <v>246</v>
      </c>
      <c r="M1185" s="57"/>
      <c r="N1185" s="57"/>
      <c r="O1185" s="57"/>
      <c r="P1185" s="57"/>
      <c r="Q1185" s="58">
        <f t="shared" si="120"/>
        <v>15</v>
      </c>
      <c r="R1185" s="58">
        <f t="shared" si="122"/>
        <v>14</v>
      </c>
      <c r="S1185" s="57"/>
      <c r="T1185" s="57"/>
      <c r="U1185" s="57"/>
      <c r="V1185" s="57"/>
      <c r="W1185" s="57"/>
      <c r="X1185" s="57"/>
      <c r="Y1185" s="57"/>
      <c r="Z1185" s="57"/>
      <c r="AA1185" s="57"/>
      <c r="AB1185" s="57"/>
      <c r="AC1185" s="57"/>
      <c r="AD1185" s="57"/>
      <c r="AE1185" s="57"/>
      <c r="AF1185" s="57"/>
      <c r="AG1185" s="57"/>
    </row>
    <row r="1186" spans="1:33" ht="20" customHeight="1">
      <c r="A1186" s="61">
        <v>16</v>
      </c>
      <c r="B1186" s="58" t="s">
        <v>552</v>
      </c>
      <c r="C1186" s="57"/>
      <c r="D1186" s="57"/>
      <c r="E1186" s="57"/>
      <c r="F1186" s="57"/>
      <c r="G1186" s="57"/>
      <c r="H1186" s="57"/>
      <c r="I1186" s="57"/>
      <c r="J1186" s="57"/>
      <c r="K1186" s="58">
        <f t="shared" si="119"/>
        <v>16</v>
      </c>
      <c r="L1186" s="58" t="s">
        <v>247</v>
      </c>
      <c r="M1186" s="57"/>
      <c r="N1186" s="57"/>
      <c r="O1186" s="57"/>
      <c r="P1186" s="57"/>
      <c r="Q1186" s="58">
        <f t="shared" si="120"/>
        <v>16</v>
      </c>
      <c r="R1186" s="58">
        <f t="shared" si="122"/>
        <v>15</v>
      </c>
      <c r="S1186" s="57"/>
      <c r="T1186" s="57"/>
      <c r="U1186" s="57"/>
      <c r="V1186" s="57"/>
      <c r="W1186" s="57"/>
      <c r="X1186" s="57"/>
      <c r="Y1186" s="57"/>
      <c r="Z1186" s="57"/>
      <c r="AA1186" s="57"/>
      <c r="AB1186" s="57"/>
      <c r="AC1186" s="57"/>
      <c r="AD1186" s="57"/>
      <c r="AE1186" s="57"/>
      <c r="AF1186" s="57"/>
      <c r="AG1186" s="57"/>
    </row>
    <row r="1187" spans="1:33" ht="20" customHeight="1">
      <c r="A1187" s="57"/>
      <c r="B1187" s="57"/>
      <c r="C1187" s="57"/>
      <c r="D1187" s="57"/>
      <c r="E1187" s="57"/>
      <c r="F1187" s="57"/>
      <c r="G1187" s="57"/>
      <c r="H1187" s="57"/>
      <c r="I1187" s="57"/>
      <c r="J1187" s="57"/>
      <c r="K1187" s="58">
        <f t="shared" si="119"/>
        <v>17</v>
      </c>
      <c r="L1187" s="58" t="s">
        <v>248</v>
      </c>
      <c r="M1187" s="57"/>
      <c r="N1187" s="57"/>
      <c r="O1187" s="57"/>
      <c r="P1187" s="57"/>
      <c r="Q1187" s="58">
        <f t="shared" si="120"/>
        <v>17</v>
      </c>
      <c r="R1187" s="58">
        <f t="shared" si="122"/>
        <v>16</v>
      </c>
      <c r="S1187" s="57"/>
      <c r="T1187" s="57"/>
      <c r="U1187" s="57"/>
      <c r="V1187" s="57"/>
      <c r="W1187" s="57"/>
      <c r="X1187" s="57"/>
      <c r="Y1187" s="57"/>
      <c r="Z1187" s="57"/>
      <c r="AA1187" s="57"/>
      <c r="AB1187" s="57"/>
      <c r="AC1187" s="57"/>
      <c r="AD1187" s="57"/>
      <c r="AE1187" s="57"/>
      <c r="AF1187" s="57"/>
      <c r="AG1187" s="57"/>
    </row>
    <row r="1188" spans="1:33" ht="20" customHeight="1">
      <c r="A1188" s="57"/>
      <c r="B1188" s="57"/>
      <c r="C1188" s="57"/>
      <c r="D1188" s="57"/>
      <c r="E1188" s="57"/>
      <c r="F1188" s="57"/>
      <c r="G1188" s="57"/>
      <c r="H1188" s="57"/>
      <c r="I1188" s="57"/>
      <c r="J1188" s="57"/>
      <c r="K1188" s="58">
        <f t="shared" si="119"/>
        <v>18</v>
      </c>
      <c r="L1188" s="58" t="s">
        <v>249</v>
      </c>
      <c r="M1188" s="57"/>
      <c r="N1188" s="57"/>
      <c r="O1188" s="57"/>
      <c r="P1188" s="57"/>
      <c r="Q1188" s="58">
        <f t="shared" si="120"/>
        <v>18</v>
      </c>
      <c r="R1188" s="58">
        <f t="shared" si="122"/>
        <v>17</v>
      </c>
      <c r="S1188" s="57"/>
      <c r="T1188" s="57"/>
      <c r="U1188" s="57"/>
      <c r="V1188" s="57"/>
      <c r="W1188" s="57"/>
      <c r="X1188" s="57"/>
      <c r="Y1188" s="57"/>
      <c r="Z1188" s="57"/>
      <c r="AA1188" s="57"/>
      <c r="AB1188" s="57"/>
      <c r="AC1188" s="57"/>
      <c r="AD1188" s="57"/>
      <c r="AE1188" s="57"/>
      <c r="AF1188" s="57"/>
      <c r="AG1188" s="57"/>
    </row>
    <row r="1189" spans="1:33" ht="20" customHeight="1">
      <c r="A1189" s="57"/>
      <c r="B1189" s="57"/>
      <c r="C1189" s="57"/>
      <c r="D1189" s="57"/>
      <c r="E1189" s="57"/>
      <c r="F1189" s="57"/>
      <c r="G1189" s="57"/>
      <c r="H1189" s="57"/>
      <c r="I1189" s="57"/>
      <c r="J1189" s="57"/>
      <c r="K1189" s="58">
        <f t="shared" si="119"/>
        <v>19</v>
      </c>
      <c r="L1189" s="58" t="s">
        <v>250</v>
      </c>
      <c r="M1189" s="57"/>
      <c r="N1189" s="57"/>
      <c r="O1189" s="57"/>
      <c r="P1189" s="57"/>
      <c r="Q1189" s="58">
        <f t="shared" si="120"/>
        <v>19</v>
      </c>
      <c r="R1189" s="58">
        <f t="shared" si="122"/>
        <v>18</v>
      </c>
      <c r="S1189" s="57"/>
      <c r="T1189" s="57"/>
      <c r="U1189" s="57"/>
      <c r="V1189" s="57"/>
      <c r="W1189" s="57"/>
      <c r="X1189" s="57"/>
      <c r="Y1189" s="57"/>
      <c r="Z1189" s="57"/>
      <c r="AA1189" s="57"/>
      <c r="AB1189" s="57"/>
      <c r="AC1189" s="57"/>
      <c r="AD1189" s="57"/>
      <c r="AE1189" s="57"/>
      <c r="AF1189" s="57"/>
      <c r="AG1189" s="57"/>
    </row>
    <row r="1190" spans="1:33" ht="20" customHeight="1">
      <c r="A1190" s="57"/>
      <c r="B1190" s="57"/>
      <c r="C1190" s="57"/>
      <c r="D1190" s="57"/>
      <c r="E1190" s="57"/>
      <c r="F1190" s="57"/>
      <c r="G1190" s="57"/>
      <c r="H1190" s="57"/>
      <c r="I1190" s="57"/>
      <c r="J1190" s="57"/>
      <c r="K1190" s="58">
        <f t="shared" si="119"/>
        <v>20</v>
      </c>
      <c r="L1190" s="58" t="s">
        <v>251</v>
      </c>
      <c r="M1190" s="57"/>
      <c r="N1190" s="57"/>
      <c r="O1190" s="57"/>
      <c r="P1190" s="57"/>
      <c r="Q1190" s="58">
        <f t="shared" si="120"/>
        <v>20</v>
      </c>
      <c r="R1190" s="58">
        <f t="shared" si="122"/>
        <v>19</v>
      </c>
      <c r="S1190" s="57"/>
      <c r="T1190" s="57"/>
      <c r="U1190" s="57"/>
      <c r="V1190" s="57"/>
      <c r="W1190" s="57"/>
      <c r="X1190" s="57"/>
      <c r="Y1190" s="57"/>
      <c r="Z1190" s="57"/>
      <c r="AA1190" s="57"/>
      <c r="AB1190" s="57"/>
      <c r="AC1190" s="57"/>
      <c r="AD1190" s="57"/>
      <c r="AE1190" s="57"/>
      <c r="AF1190" s="57"/>
      <c r="AG1190" s="57"/>
    </row>
    <row r="1191" spans="1:33" ht="20" customHeight="1">
      <c r="A1191" s="57"/>
      <c r="B1191" s="57"/>
      <c r="C1191" s="57"/>
      <c r="D1191" s="57"/>
      <c r="E1191" s="57"/>
      <c r="F1191" s="57"/>
      <c r="G1191" s="57"/>
      <c r="H1191" s="57"/>
      <c r="I1191" s="57"/>
      <c r="J1191" s="57"/>
      <c r="K1191" s="58">
        <f t="shared" si="119"/>
        <v>21</v>
      </c>
      <c r="L1191" s="58" t="s">
        <v>253</v>
      </c>
      <c r="M1191" s="57"/>
      <c r="N1191" s="57"/>
      <c r="O1191" s="57"/>
      <c r="P1191" s="57"/>
      <c r="Q1191" s="58">
        <f t="shared" si="120"/>
        <v>21</v>
      </c>
      <c r="R1191" s="58">
        <f t="shared" si="122"/>
        <v>20</v>
      </c>
      <c r="S1191" s="57"/>
      <c r="T1191" s="57"/>
      <c r="U1191" s="57"/>
      <c r="V1191" s="57"/>
      <c r="W1191" s="57"/>
      <c r="X1191" s="57"/>
      <c r="Y1191" s="57"/>
      <c r="Z1191" s="57"/>
      <c r="AA1191" s="57"/>
      <c r="AB1191" s="57"/>
      <c r="AC1191" s="57"/>
      <c r="AD1191" s="57"/>
      <c r="AE1191" s="57"/>
      <c r="AF1191" s="57"/>
      <c r="AG1191" s="57"/>
    </row>
    <row r="1192" spans="1:33" ht="20" customHeight="1">
      <c r="A1192" s="57"/>
      <c r="B1192" s="57"/>
      <c r="C1192" s="57"/>
      <c r="D1192" s="57"/>
      <c r="E1192" s="57"/>
      <c r="F1192" s="57"/>
      <c r="G1192" s="57"/>
      <c r="H1192" s="57"/>
      <c r="I1192" s="57"/>
      <c r="J1192" s="57"/>
      <c r="K1192" s="58">
        <f t="shared" si="119"/>
        <v>22</v>
      </c>
      <c r="L1192" s="58" t="s">
        <v>254</v>
      </c>
      <c r="M1192" s="57"/>
      <c r="N1192" s="57"/>
      <c r="O1192" s="57"/>
      <c r="P1192" s="57"/>
      <c r="Q1192" s="58">
        <f t="shared" si="120"/>
        <v>22</v>
      </c>
      <c r="R1192" s="58">
        <f t="shared" si="122"/>
        <v>21</v>
      </c>
      <c r="S1192" s="57"/>
      <c r="T1192" s="57"/>
      <c r="U1192" s="57"/>
      <c r="V1192" s="57"/>
      <c r="W1192" s="57"/>
      <c r="X1192" s="57"/>
      <c r="Y1192" s="57"/>
      <c r="Z1192" s="57"/>
      <c r="AA1192" s="57"/>
      <c r="AB1192" s="57"/>
      <c r="AC1192" s="57"/>
      <c r="AD1192" s="57"/>
      <c r="AE1192" s="57"/>
      <c r="AF1192" s="57"/>
      <c r="AG1192" s="57"/>
    </row>
    <row r="1193" spans="1:33" ht="20" customHeight="1">
      <c r="A1193" s="57"/>
      <c r="B1193" s="57"/>
      <c r="C1193" s="57"/>
      <c r="D1193" s="57"/>
      <c r="E1193" s="57"/>
      <c r="F1193" s="57"/>
      <c r="G1193" s="57"/>
      <c r="H1193" s="57"/>
      <c r="I1193" s="57"/>
      <c r="J1193" s="57"/>
      <c r="K1193" s="58">
        <f t="shared" si="119"/>
        <v>23</v>
      </c>
      <c r="L1193" s="58" t="s">
        <v>255</v>
      </c>
      <c r="M1193" s="57"/>
      <c r="N1193" s="57"/>
      <c r="O1193" s="57"/>
      <c r="P1193" s="57"/>
      <c r="Q1193" s="58">
        <f t="shared" si="120"/>
        <v>23</v>
      </c>
      <c r="R1193" s="58">
        <f t="shared" si="122"/>
        <v>22</v>
      </c>
      <c r="S1193" s="57"/>
      <c r="T1193" s="57"/>
      <c r="U1193" s="57"/>
      <c r="V1193" s="57"/>
      <c r="W1193" s="57"/>
      <c r="X1193" s="57"/>
      <c r="Y1193" s="57"/>
      <c r="Z1193" s="57"/>
      <c r="AA1193" s="57"/>
      <c r="AB1193" s="57"/>
      <c r="AC1193" s="57"/>
      <c r="AD1193" s="57"/>
      <c r="AE1193" s="57"/>
      <c r="AF1193" s="57"/>
      <c r="AG1193" s="57"/>
    </row>
    <row r="1194" spans="1:33" ht="20" customHeight="1">
      <c r="A1194" s="57"/>
      <c r="B1194" s="57"/>
      <c r="C1194" s="57"/>
      <c r="D1194" s="57"/>
      <c r="E1194" s="57"/>
      <c r="F1194" s="57"/>
      <c r="G1194" s="57"/>
      <c r="H1194" s="57"/>
      <c r="I1194" s="57"/>
      <c r="J1194" s="57"/>
      <c r="K1194" s="58">
        <f t="shared" si="119"/>
        <v>24</v>
      </c>
      <c r="L1194" s="58" t="s">
        <v>256</v>
      </c>
      <c r="M1194" s="57"/>
      <c r="N1194" s="57"/>
      <c r="O1194" s="57"/>
      <c r="P1194" s="57"/>
      <c r="Q1194" s="58">
        <f t="shared" si="120"/>
        <v>24</v>
      </c>
      <c r="R1194" s="58">
        <f t="shared" si="122"/>
        <v>23</v>
      </c>
      <c r="S1194" s="57"/>
      <c r="T1194" s="57"/>
      <c r="U1194" s="57"/>
      <c r="V1194" s="57"/>
      <c r="W1194" s="57"/>
      <c r="X1194" s="57"/>
      <c r="Y1194" s="57"/>
      <c r="Z1194" s="57"/>
      <c r="AA1194" s="57"/>
      <c r="AB1194" s="57"/>
      <c r="AC1194" s="57"/>
      <c r="AD1194" s="57"/>
      <c r="AE1194" s="57"/>
      <c r="AF1194" s="57"/>
      <c r="AG1194" s="57"/>
    </row>
    <row r="1195" spans="1:33" ht="20" customHeight="1">
      <c r="A1195" s="57"/>
      <c r="B1195" s="57"/>
      <c r="C1195" s="57"/>
      <c r="D1195" s="57"/>
      <c r="E1195" s="57"/>
      <c r="F1195" s="57"/>
      <c r="G1195" s="57"/>
      <c r="H1195" s="57"/>
      <c r="I1195" s="57"/>
      <c r="J1195" s="57"/>
      <c r="K1195" s="58">
        <f t="shared" si="119"/>
        <v>25</v>
      </c>
      <c r="L1195" s="58" t="s">
        <v>252</v>
      </c>
      <c r="M1195" s="57"/>
      <c r="N1195" s="57"/>
      <c r="O1195" s="57"/>
      <c r="P1195" s="57"/>
      <c r="Q1195" s="58">
        <f t="shared" si="120"/>
        <v>25</v>
      </c>
      <c r="R1195" s="58">
        <f t="shared" si="122"/>
        <v>24</v>
      </c>
      <c r="S1195" s="57"/>
      <c r="T1195" s="57"/>
      <c r="U1195" s="57"/>
      <c r="V1195" s="57"/>
      <c r="W1195" s="57"/>
      <c r="X1195" s="57"/>
      <c r="Y1195" s="57"/>
      <c r="Z1195" s="57"/>
      <c r="AA1195" s="57"/>
      <c r="AB1195" s="57"/>
      <c r="AC1195" s="57"/>
      <c r="AD1195" s="57"/>
      <c r="AE1195" s="57"/>
      <c r="AF1195" s="57"/>
      <c r="AG1195" s="57"/>
    </row>
    <row r="1196" spans="1:33" ht="20" customHeight="1">
      <c r="A1196" s="57"/>
      <c r="B1196" s="57"/>
      <c r="C1196" s="57"/>
      <c r="D1196" s="57"/>
      <c r="E1196" s="57"/>
      <c r="F1196" s="57"/>
      <c r="G1196" s="57"/>
      <c r="H1196" s="57"/>
      <c r="I1196" s="57"/>
      <c r="J1196" s="57"/>
      <c r="K1196" s="58">
        <f t="shared" si="119"/>
        <v>26</v>
      </c>
      <c r="L1196" s="58" t="s">
        <v>281</v>
      </c>
      <c r="M1196" s="57"/>
      <c r="N1196" s="57"/>
      <c r="O1196" s="57"/>
      <c r="P1196" s="57"/>
      <c r="Q1196" s="58">
        <f t="shared" si="120"/>
        <v>26</v>
      </c>
      <c r="R1196" s="58">
        <f t="shared" si="122"/>
        <v>25</v>
      </c>
      <c r="S1196" s="57"/>
      <c r="T1196" s="57"/>
      <c r="U1196" s="57"/>
      <c r="V1196" s="57"/>
      <c r="W1196" s="57"/>
      <c r="X1196" s="57"/>
      <c r="Y1196" s="57"/>
      <c r="Z1196" s="57"/>
      <c r="AA1196" s="57"/>
      <c r="AB1196" s="57"/>
      <c r="AC1196" s="57"/>
      <c r="AD1196" s="57"/>
      <c r="AE1196" s="57"/>
      <c r="AF1196" s="57"/>
      <c r="AG1196" s="57"/>
    </row>
    <row r="1197" spans="1:33" ht="20" customHeight="1">
      <c r="A1197" s="57"/>
      <c r="B1197" s="57"/>
      <c r="C1197" s="57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57"/>
      <c r="P1197" s="57"/>
      <c r="Q1197" s="58">
        <f t="shared" si="120"/>
        <v>27</v>
      </c>
      <c r="R1197" s="58">
        <f t="shared" si="122"/>
        <v>26</v>
      </c>
      <c r="S1197" s="57"/>
      <c r="T1197" s="57"/>
      <c r="U1197" s="57"/>
      <c r="V1197" s="57"/>
      <c r="W1197" s="57"/>
      <c r="X1197" s="57"/>
      <c r="Y1197" s="57"/>
      <c r="Z1197" s="57"/>
      <c r="AA1197" s="57"/>
      <c r="AB1197" s="57"/>
      <c r="AC1197" s="57"/>
      <c r="AD1197" s="57"/>
      <c r="AE1197" s="57"/>
      <c r="AF1197" s="57"/>
      <c r="AG1197" s="57"/>
    </row>
    <row r="1198" spans="1:33" ht="20" customHeight="1">
      <c r="A1198" s="57"/>
      <c r="B1198" s="57"/>
      <c r="C1198" s="57"/>
      <c r="D1198" s="57"/>
      <c r="E1198" s="57"/>
      <c r="F1198" s="57"/>
      <c r="G1198" s="57"/>
      <c r="H1198" s="57"/>
      <c r="I1198" s="57"/>
      <c r="J1198" s="57"/>
      <c r="K1198" s="57"/>
      <c r="L1198" s="57"/>
      <c r="M1198" s="57"/>
      <c r="N1198" s="57"/>
      <c r="O1198" s="57"/>
      <c r="P1198" s="57"/>
      <c r="Q1198" s="58">
        <f t="shared" si="120"/>
        <v>28</v>
      </c>
      <c r="R1198" s="58">
        <f t="shared" si="122"/>
        <v>27</v>
      </c>
      <c r="S1198" s="57"/>
      <c r="T1198" s="57"/>
      <c r="U1198" s="57"/>
      <c r="V1198" s="57"/>
      <c r="W1198" s="57"/>
      <c r="X1198" s="57"/>
      <c r="Y1198" s="57"/>
      <c r="Z1198" s="57"/>
      <c r="AA1198" s="57"/>
      <c r="AB1198" s="57"/>
      <c r="AC1198" s="57"/>
      <c r="AD1198" s="57"/>
      <c r="AE1198" s="57"/>
      <c r="AF1198" s="57"/>
      <c r="AG1198" s="57"/>
    </row>
    <row r="1199" spans="1:33" ht="20" customHeight="1">
      <c r="A1199" s="57"/>
      <c r="B1199" s="57"/>
      <c r="C1199" s="57"/>
      <c r="D1199" s="57"/>
      <c r="E1199" s="57"/>
      <c r="F1199" s="57"/>
      <c r="G1199" s="57"/>
      <c r="H1199" s="57"/>
      <c r="I1199" s="57"/>
      <c r="J1199" s="57"/>
      <c r="K1199" s="57"/>
      <c r="L1199" s="57"/>
      <c r="M1199" s="57"/>
      <c r="N1199" s="57"/>
      <c r="O1199" s="57"/>
      <c r="P1199" s="57"/>
      <c r="Q1199" s="58">
        <f t="shared" si="120"/>
        <v>29</v>
      </c>
      <c r="R1199" s="58">
        <f t="shared" si="122"/>
        <v>28</v>
      </c>
      <c r="S1199" s="57"/>
      <c r="T1199" s="57"/>
      <c r="U1199" s="57"/>
      <c r="V1199" s="57"/>
      <c r="W1199" s="57"/>
      <c r="X1199" s="57"/>
      <c r="Y1199" s="57"/>
      <c r="Z1199" s="57"/>
      <c r="AA1199" s="57"/>
      <c r="AB1199" s="57"/>
      <c r="AC1199" s="57"/>
      <c r="AD1199" s="57"/>
      <c r="AE1199" s="57"/>
      <c r="AF1199" s="57"/>
      <c r="AG1199" s="57"/>
    </row>
    <row r="1200" spans="1:33" ht="20" customHeight="1">
      <c r="A1200" s="57"/>
      <c r="B1200" s="57"/>
      <c r="C1200" s="57"/>
      <c r="D1200" s="57"/>
      <c r="E1200" s="57"/>
      <c r="F1200" s="57"/>
      <c r="G1200" s="57"/>
      <c r="H1200" s="57"/>
      <c r="I1200" s="57"/>
      <c r="J1200" s="57"/>
      <c r="K1200" s="57"/>
      <c r="L1200" s="57"/>
      <c r="M1200" s="57"/>
      <c r="N1200" s="57"/>
      <c r="O1200" s="57"/>
      <c r="P1200" s="57"/>
      <c r="Q1200" s="58">
        <f t="shared" si="120"/>
        <v>30</v>
      </c>
      <c r="R1200" s="58">
        <f t="shared" si="122"/>
        <v>29</v>
      </c>
      <c r="S1200" s="57"/>
      <c r="T1200" s="57"/>
      <c r="U1200" s="57"/>
      <c r="V1200" s="57"/>
      <c r="W1200" s="57"/>
      <c r="X1200" s="57"/>
      <c r="Y1200" s="57"/>
      <c r="Z1200" s="57"/>
      <c r="AA1200" s="57"/>
      <c r="AB1200" s="57"/>
      <c r="AC1200" s="57"/>
      <c r="AD1200" s="57"/>
      <c r="AE1200" s="57"/>
      <c r="AF1200" s="57"/>
      <c r="AG1200" s="57"/>
    </row>
    <row r="1201" spans="1:33" ht="20" customHeight="1">
      <c r="A1201" s="57"/>
      <c r="B1201" s="57"/>
      <c r="C1201" s="57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57"/>
      <c r="P1201" s="57"/>
      <c r="Q1201" s="58">
        <f t="shared" si="120"/>
        <v>31</v>
      </c>
      <c r="R1201" s="58">
        <f t="shared" si="122"/>
        <v>30</v>
      </c>
      <c r="S1201" s="57"/>
      <c r="T1201" s="57"/>
      <c r="U1201" s="57"/>
      <c r="V1201" s="57"/>
      <c r="W1201" s="57"/>
      <c r="X1201" s="57"/>
      <c r="Y1201" s="57"/>
      <c r="Z1201" s="57"/>
      <c r="AA1201" s="57"/>
      <c r="AB1201" s="57"/>
      <c r="AC1201" s="57"/>
      <c r="AD1201" s="57"/>
      <c r="AE1201" s="57"/>
      <c r="AF1201" s="57"/>
      <c r="AG1201" s="57"/>
    </row>
    <row r="1202" spans="1:33" ht="20" customHeight="1">
      <c r="A1202" s="57"/>
      <c r="B1202" s="57"/>
      <c r="C1202" s="57"/>
      <c r="D1202" s="57"/>
      <c r="E1202" s="57"/>
      <c r="F1202" s="57"/>
      <c r="G1202" s="57"/>
      <c r="H1202" s="57"/>
      <c r="I1202" s="57"/>
      <c r="J1202" s="57"/>
      <c r="K1202" s="57"/>
      <c r="L1202" s="57"/>
      <c r="M1202" s="57"/>
      <c r="N1202" s="57"/>
      <c r="O1202" s="57"/>
      <c r="P1202" s="57"/>
      <c r="Q1202" s="58">
        <f t="shared" si="120"/>
        <v>32</v>
      </c>
      <c r="R1202" s="58">
        <f t="shared" si="122"/>
        <v>31</v>
      </c>
      <c r="S1202" s="57"/>
      <c r="T1202" s="57"/>
      <c r="U1202" s="57"/>
      <c r="V1202" s="57"/>
      <c r="W1202" s="57"/>
      <c r="X1202" s="57"/>
      <c r="Y1202" s="57"/>
      <c r="Z1202" s="57"/>
      <c r="AA1202" s="57"/>
      <c r="AB1202" s="57"/>
      <c r="AC1202" s="57"/>
      <c r="AD1202" s="57"/>
      <c r="AE1202" s="57"/>
      <c r="AF1202" s="57"/>
      <c r="AG1202" s="57"/>
    </row>
    <row r="1203" spans="1:33" ht="20" customHeight="1">
      <c r="A1203" s="57"/>
      <c r="B1203" s="57"/>
      <c r="C1203" s="57"/>
      <c r="D1203" s="57"/>
      <c r="E1203" s="57"/>
      <c r="F1203" s="57"/>
      <c r="G1203" s="57"/>
      <c r="H1203" s="57"/>
      <c r="I1203" s="57"/>
      <c r="J1203" s="57"/>
      <c r="K1203" s="57"/>
      <c r="L1203" s="57"/>
      <c r="M1203" s="57"/>
      <c r="N1203" s="57"/>
      <c r="O1203" s="57"/>
      <c r="P1203" s="57"/>
      <c r="Q1203" s="58">
        <f t="shared" si="120"/>
        <v>33</v>
      </c>
      <c r="R1203" s="58">
        <f t="shared" si="122"/>
        <v>32</v>
      </c>
      <c r="S1203" s="57"/>
      <c r="T1203" s="57"/>
      <c r="U1203" s="57"/>
      <c r="V1203" s="57"/>
      <c r="W1203" s="57"/>
      <c r="X1203" s="57"/>
      <c r="Y1203" s="57"/>
      <c r="Z1203" s="57"/>
      <c r="AA1203" s="57"/>
      <c r="AB1203" s="57"/>
      <c r="AC1203" s="57"/>
      <c r="AD1203" s="57"/>
      <c r="AE1203" s="57"/>
      <c r="AF1203" s="57"/>
      <c r="AG1203" s="57"/>
    </row>
    <row r="1204" spans="1:33" ht="20" customHeight="1">
      <c r="A1204" s="57"/>
      <c r="B1204" s="57"/>
      <c r="C1204" s="57"/>
      <c r="D1204" s="57"/>
      <c r="E1204" s="57"/>
      <c r="F1204" s="57"/>
      <c r="G1204" s="57"/>
      <c r="H1204" s="57"/>
      <c r="I1204" s="57"/>
      <c r="J1204" s="57"/>
      <c r="K1204" s="57"/>
      <c r="L1204" s="57"/>
      <c r="M1204" s="57"/>
      <c r="N1204" s="57"/>
      <c r="O1204" s="57"/>
      <c r="P1204" s="57"/>
      <c r="Q1204" s="58">
        <f t="shared" ref="Q1204:Q1235" si="123">+Q1203+1</f>
        <v>34</v>
      </c>
      <c r="R1204" s="58">
        <f t="shared" si="122"/>
        <v>33</v>
      </c>
      <c r="S1204" s="57"/>
      <c r="T1204" s="57"/>
      <c r="U1204" s="57"/>
      <c r="V1204" s="57"/>
      <c r="W1204" s="57"/>
      <c r="X1204" s="57"/>
      <c r="Y1204" s="57"/>
      <c r="Z1204" s="57"/>
      <c r="AA1204" s="57"/>
      <c r="AB1204" s="57"/>
      <c r="AC1204" s="57"/>
      <c r="AD1204" s="57"/>
      <c r="AE1204" s="57"/>
      <c r="AF1204" s="57"/>
      <c r="AG1204" s="57"/>
    </row>
    <row r="1205" spans="1:33" ht="20" customHeight="1">
      <c r="A1205" s="57"/>
      <c r="B1205" s="57"/>
      <c r="C1205" s="57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57"/>
      <c r="P1205" s="57"/>
      <c r="Q1205" s="58">
        <f t="shared" si="123"/>
        <v>35</v>
      </c>
      <c r="R1205" s="58">
        <f t="shared" ref="R1205:R1236" si="124">+R1204+1</f>
        <v>34</v>
      </c>
      <c r="S1205" s="57"/>
      <c r="T1205" s="57"/>
      <c r="U1205" s="57"/>
      <c r="V1205" s="57"/>
      <c r="W1205" s="57"/>
      <c r="X1205" s="57"/>
      <c r="Y1205" s="57"/>
      <c r="Z1205" s="57"/>
      <c r="AA1205" s="57"/>
      <c r="AB1205" s="57"/>
      <c r="AC1205" s="57"/>
      <c r="AD1205" s="57"/>
      <c r="AE1205" s="57"/>
      <c r="AF1205" s="57"/>
      <c r="AG1205" s="57"/>
    </row>
    <row r="1206" spans="1:33" ht="20" customHeight="1">
      <c r="A1206" s="57"/>
      <c r="B1206" s="57"/>
      <c r="C1206" s="57"/>
      <c r="D1206" s="57"/>
      <c r="E1206" s="57"/>
      <c r="F1206" s="57"/>
      <c r="G1206" s="57"/>
      <c r="H1206" s="57"/>
      <c r="I1206" s="57"/>
      <c r="J1206" s="57"/>
      <c r="K1206" s="57"/>
      <c r="L1206" s="57"/>
      <c r="M1206" s="57"/>
      <c r="N1206" s="57"/>
      <c r="O1206" s="57"/>
      <c r="P1206" s="57"/>
      <c r="Q1206" s="58">
        <f t="shared" si="123"/>
        <v>36</v>
      </c>
      <c r="R1206" s="58">
        <f t="shared" si="124"/>
        <v>35</v>
      </c>
      <c r="S1206" s="57"/>
      <c r="T1206" s="57"/>
      <c r="U1206" s="57"/>
      <c r="V1206" s="57"/>
      <c r="W1206" s="57"/>
      <c r="X1206" s="57"/>
      <c r="Y1206" s="57"/>
      <c r="Z1206" s="57"/>
      <c r="AA1206" s="57"/>
      <c r="AB1206" s="57"/>
      <c r="AC1206" s="57"/>
      <c r="AD1206" s="57"/>
      <c r="AE1206" s="57"/>
      <c r="AF1206" s="57"/>
      <c r="AG1206" s="57"/>
    </row>
    <row r="1207" spans="1:33" ht="20" customHeight="1">
      <c r="A1207" s="57"/>
      <c r="B1207" s="57"/>
      <c r="C1207" s="57"/>
      <c r="D1207" s="57"/>
      <c r="E1207" s="57"/>
      <c r="F1207" s="57"/>
      <c r="G1207" s="57"/>
      <c r="H1207" s="57"/>
      <c r="I1207" s="57"/>
      <c r="J1207" s="57"/>
      <c r="K1207" s="57"/>
      <c r="L1207" s="57"/>
      <c r="M1207" s="57"/>
      <c r="N1207" s="57"/>
      <c r="O1207" s="57"/>
      <c r="P1207" s="57"/>
      <c r="Q1207" s="58">
        <f t="shared" si="123"/>
        <v>37</v>
      </c>
      <c r="R1207" s="58">
        <f t="shared" si="124"/>
        <v>36</v>
      </c>
      <c r="S1207" s="57"/>
      <c r="T1207" s="57"/>
      <c r="U1207" s="57"/>
      <c r="V1207" s="57"/>
      <c r="W1207" s="57"/>
      <c r="X1207" s="57"/>
      <c r="Y1207" s="57"/>
      <c r="Z1207" s="57"/>
      <c r="AA1207" s="57"/>
      <c r="AB1207" s="57"/>
      <c r="AC1207" s="57"/>
      <c r="AD1207" s="57"/>
      <c r="AE1207" s="57"/>
      <c r="AF1207" s="57"/>
      <c r="AG1207" s="57"/>
    </row>
    <row r="1208" spans="1:33" ht="20" customHeight="1">
      <c r="A1208" s="57"/>
      <c r="B1208" s="57"/>
      <c r="C1208" s="57"/>
      <c r="D1208" s="57"/>
      <c r="E1208" s="57"/>
      <c r="F1208" s="57"/>
      <c r="G1208" s="57"/>
      <c r="H1208" s="57"/>
      <c r="I1208" s="57"/>
      <c r="J1208" s="57"/>
      <c r="K1208" s="57"/>
      <c r="L1208" s="57"/>
      <c r="M1208" s="57"/>
      <c r="N1208" s="57"/>
      <c r="O1208" s="57"/>
      <c r="P1208" s="57"/>
      <c r="Q1208" s="58">
        <f t="shared" si="123"/>
        <v>38</v>
      </c>
      <c r="R1208" s="58">
        <f t="shared" si="124"/>
        <v>37</v>
      </c>
      <c r="S1208" s="57"/>
      <c r="T1208" s="57"/>
      <c r="U1208" s="57"/>
      <c r="V1208" s="57"/>
      <c r="W1208" s="57"/>
      <c r="X1208" s="57"/>
      <c r="Y1208" s="57"/>
      <c r="Z1208" s="57"/>
      <c r="AA1208" s="57"/>
      <c r="AB1208" s="57"/>
      <c r="AC1208" s="57"/>
      <c r="AD1208" s="57"/>
      <c r="AE1208" s="57"/>
      <c r="AF1208" s="57"/>
      <c r="AG1208" s="57"/>
    </row>
    <row r="1209" spans="1:33" ht="20" customHeight="1">
      <c r="A1209" s="57"/>
      <c r="B1209" s="57"/>
      <c r="C1209" s="57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57"/>
      <c r="P1209" s="57"/>
      <c r="Q1209" s="58">
        <f t="shared" si="123"/>
        <v>39</v>
      </c>
      <c r="R1209" s="58">
        <f t="shared" si="124"/>
        <v>38</v>
      </c>
      <c r="S1209" s="57"/>
      <c r="T1209" s="57"/>
      <c r="U1209" s="57"/>
      <c r="V1209" s="57"/>
      <c r="W1209" s="57"/>
      <c r="X1209" s="57"/>
      <c r="Y1209" s="57"/>
      <c r="Z1209" s="57"/>
      <c r="AA1209" s="57"/>
      <c r="AB1209" s="57"/>
      <c r="AC1209" s="57"/>
      <c r="AD1209" s="57"/>
      <c r="AE1209" s="57"/>
      <c r="AF1209" s="57"/>
      <c r="AG1209" s="57"/>
    </row>
    <row r="1210" spans="1:33" ht="20" customHeight="1">
      <c r="A1210" s="57"/>
      <c r="B1210" s="57"/>
      <c r="C1210" s="57"/>
      <c r="D1210" s="57"/>
      <c r="E1210" s="57"/>
      <c r="F1210" s="57"/>
      <c r="G1210" s="57"/>
      <c r="H1210" s="57"/>
      <c r="I1210" s="57"/>
      <c r="J1210" s="57"/>
      <c r="K1210" s="57"/>
      <c r="L1210" s="57"/>
      <c r="M1210" s="57"/>
      <c r="N1210" s="57"/>
      <c r="O1210" s="57"/>
      <c r="P1210" s="57"/>
      <c r="Q1210" s="58">
        <f t="shared" si="123"/>
        <v>40</v>
      </c>
      <c r="R1210" s="58">
        <f t="shared" si="124"/>
        <v>39</v>
      </c>
      <c r="S1210" s="57"/>
      <c r="T1210" s="57"/>
      <c r="U1210" s="57"/>
      <c r="V1210" s="57"/>
      <c r="W1210" s="57"/>
      <c r="X1210" s="57"/>
      <c r="Y1210" s="57"/>
      <c r="Z1210" s="57"/>
      <c r="AA1210" s="57"/>
      <c r="AB1210" s="57"/>
      <c r="AC1210" s="57"/>
      <c r="AD1210" s="57"/>
      <c r="AE1210" s="57"/>
      <c r="AF1210" s="57"/>
      <c r="AG1210" s="57"/>
    </row>
    <row r="1211" spans="1:33" ht="20" customHeight="1">
      <c r="A1211" s="57"/>
      <c r="B1211" s="57"/>
      <c r="C1211" s="57"/>
      <c r="D1211" s="57"/>
      <c r="E1211" s="57"/>
      <c r="F1211" s="57"/>
      <c r="G1211" s="57"/>
      <c r="H1211" s="57"/>
      <c r="I1211" s="57"/>
      <c r="J1211" s="57"/>
      <c r="K1211" s="57"/>
      <c r="L1211" s="57"/>
      <c r="M1211" s="57"/>
      <c r="N1211" s="57"/>
      <c r="O1211" s="57"/>
      <c r="P1211" s="57"/>
      <c r="Q1211" s="58">
        <f t="shared" si="123"/>
        <v>41</v>
      </c>
      <c r="R1211" s="58">
        <f t="shared" si="124"/>
        <v>40</v>
      </c>
      <c r="S1211" s="57"/>
      <c r="T1211" s="57"/>
      <c r="U1211" s="57"/>
      <c r="V1211" s="57"/>
      <c r="W1211" s="57"/>
      <c r="X1211" s="57"/>
      <c r="Y1211" s="57"/>
      <c r="Z1211" s="57"/>
      <c r="AA1211" s="57"/>
      <c r="AB1211" s="57"/>
      <c r="AC1211" s="57"/>
      <c r="AD1211" s="57"/>
      <c r="AE1211" s="57"/>
      <c r="AF1211" s="57"/>
      <c r="AG1211" s="57"/>
    </row>
    <row r="1212" spans="1:33" ht="20" customHeight="1">
      <c r="A1212" s="57"/>
      <c r="B1212" s="57"/>
      <c r="C1212" s="57"/>
      <c r="D1212" s="57"/>
      <c r="E1212" s="57"/>
      <c r="F1212" s="57"/>
      <c r="G1212" s="57"/>
      <c r="H1212" s="57"/>
      <c r="I1212" s="57"/>
      <c r="J1212" s="57"/>
      <c r="K1212" s="57"/>
      <c r="L1212" s="57"/>
      <c r="M1212" s="57"/>
      <c r="N1212" s="57"/>
      <c r="O1212" s="57"/>
      <c r="P1212" s="57"/>
      <c r="Q1212" s="58">
        <f t="shared" si="123"/>
        <v>42</v>
      </c>
      <c r="R1212" s="58">
        <f t="shared" si="124"/>
        <v>41</v>
      </c>
      <c r="S1212" s="57"/>
      <c r="T1212" s="57"/>
      <c r="U1212" s="57"/>
      <c r="V1212" s="57"/>
      <c r="W1212" s="57"/>
      <c r="X1212" s="57"/>
      <c r="Y1212" s="57"/>
      <c r="Z1212" s="57"/>
      <c r="AA1212" s="57"/>
      <c r="AB1212" s="57"/>
      <c r="AC1212" s="57"/>
      <c r="AD1212" s="57"/>
      <c r="AE1212" s="57"/>
      <c r="AF1212" s="57"/>
      <c r="AG1212" s="57"/>
    </row>
    <row r="1213" spans="1:33" ht="20" customHeight="1">
      <c r="A1213" s="57"/>
      <c r="B1213" s="57"/>
      <c r="C1213" s="57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57"/>
      <c r="P1213" s="57"/>
      <c r="Q1213" s="58">
        <f t="shared" si="123"/>
        <v>43</v>
      </c>
      <c r="R1213" s="58">
        <f t="shared" si="124"/>
        <v>42</v>
      </c>
      <c r="S1213" s="57"/>
      <c r="T1213" s="57"/>
      <c r="U1213" s="57"/>
      <c r="V1213" s="57"/>
      <c r="W1213" s="57"/>
      <c r="X1213" s="57"/>
      <c r="Y1213" s="57"/>
      <c r="Z1213" s="57"/>
      <c r="AA1213" s="57"/>
      <c r="AB1213" s="57"/>
      <c r="AC1213" s="57"/>
      <c r="AD1213" s="57"/>
      <c r="AE1213" s="57"/>
      <c r="AF1213" s="57"/>
      <c r="AG1213" s="57"/>
    </row>
    <row r="1214" spans="1:33" ht="20" customHeight="1">
      <c r="A1214" s="57"/>
      <c r="B1214" s="57"/>
      <c r="C1214" s="57"/>
      <c r="D1214" s="57"/>
      <c r="E1214" s="57"/>
      <c r="F1214" s="57"/>
      <c r="G1214" s="57"/>
      <c r="H1214" s="57"/>
      <c r="I1214" s="57"/>
      <c r="J1214" s="57"/>
      <c r="K1214" s="57"/>
      <c r="L1214" s="57"/>
      <c r="M1214" s="57"/>
      <c r="N1214" s="57"/>
      <c r="O1214" s="57"/>
      <c r="P1214" s="57"/>
      <c r="Q1214" s="58">
        <f t="shared" si="123"/>
        <v>44</v>
      </c>
      <c r="R1214" s="58">
        <f t="shared" si="124"/>
        <v>43</v>
      </c>
      <c r="S1214" s="57"/>
      <c r="T1214" s="57"/>
      <c r="U1214" s="57"/>
      <c r="V1214" s="57"/>
      <c r="W1214" s="57"/>
      <c r="X1214" s="57"/>
      <c r="Y1214" s="57"/>
      <c r="Z1214" s="57"/>
      <c r="AA1214" s="57"/>
      <c r="AB1214" s="57"/>
      <c r="AC1214" s="57"/>
      <c r="AD1214" s="57"/>
      <c r="AE1214" s="57"/>
      <c r="AF1214" s="57"/>
      <c r="AG1214" s="57"/>
    </row>
    <row r="1215" spans="1:33" ht="20" customHeight="1">
      <c r="A1215" s="57"/>
      <c r="B1215" s="57"/>
      <c r="C1215" s="57"/>
      <c r="D1215" s="57"/>
      <c r="E1215" s="57"/>
      <c r="F1215" s="57"/>
      <c r="G1215" s="57"/>
      <c r="H1215" s="57"/>
      <c r="I1215" s="57"/>
      <c r="J1215" s="57"/>
      <c r="K1215" s="57"/>
      <c r="L1215" s="57"/>
      <c r="M1215" s="57"/>
      <c r="N1215" s="57"/>
      <c r="O1215" s="57"/>
      <c r="P1215" s="57"/>
      <c r="Q1215" s="58">
        <f t="shared" si="123"/>
        <v>45</v>
      </c>
      <c r="R1215" s="58">
        <f t="shared" si="124"/>
        <v>44</v>
      </c>
      <c r="S1215" s="57"/>
      <c r="T1215" s="57"/>
      <c r="U1215" s="57"/>
      <c r="V1215" s="57"/>
      <c r="W1215" s="57"/>
      <c r="X1215" s="57"/>
      <c r="Y1215" s="57"/>
      <c r="Z1215" s="57"/>
      <c r="AA1215" s="57"/>
      <c r="AB1215" s="57"/>
      <c r="AC1215" s="57"/>
      <c r="AD1215" s="57"/>
      <c r="AE1215" s="57"/>
      <c r="AF1215" s="57"/>
      <c r="AG1215" s="57"/>
    </row>
    <row r="1216" spans="1:33" ht="20" customHeight="1">
      <c r="A1216" s="57"/>
      <c r="B1216" s="57"/>
      <c r="C1216" s="57"/>
      <c r="D1216" s="57"/>
      <c r="E1216" s="57"/>
      <c r="F1216" s="57"/>
      <c r="G1216" s="57"/>
      <c r="H1216" s="57"/>
      <c r="I1216" s="57"/>
      <c r="J1216" s="57"/>
      <c r="K1216" s="57"/>
      <c r="L1216" s="57"/>
      <c r="M1216" s="57"/>
      <c r="N1216" s="57"/>
      <c r="O1216" s="57"/>
      <c r="P1216" s="57"/>
      <c r="Q1216" s="58">
        <f t="shared" si="123"/>
        <v>46</v>
      </c>
      <c r="R1216" s="58">
        <f t="shared" si="124"/>
        <v>45</v>
      </c>
      <c r="S1216" s="57"/>
      <c r="T1216" s="57"/>
      <c r="U1216" s="57"/>
      <c r="V1216" s="57"/>
      <c r="W1216" s="57"/>
      <c r="X1216" s="57"/>
      <c r="Y1216" s="57"/>
      <c r="Z1216" s="57"/>
      <c r="AA1216" s="57"/>
      <c r="AB1216" s="57"/>
      <c r="AC1216" s="57"/>
      <c r="AD1216" s="57"/>
      <c r="AE1216" s="57"/>
      <c r="AF1216" s="57"/>
      <c r="AG1216" s="57"/>
    </row>
    <row r="1217" spans="1:33" ht="20" customHeight="1">
      <c r="A1217" s="57"/>
      <c r="B1217" s="57"/>
      <c r="C1217" s="57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57"/>
      <c r="P1217" s="57"/>
      <c r="Q1217" s="58">
        <f t="shared" si="123"/>
        <v>47</v>
      </c>
      <c r="R1217" s="58">
        <f t="shared" si="124"/>
        <v>46</v>
      </c>
      <c r="S1217" s="57"/>
      <c r="T1217" s="57"/>
      <c r="U1217" s="57"/>
      <c r="V1217" s="57"/>
      <c r="W1217" s="57"/>
      <c r="X1217" s="57"/>
      <c r="Y1217" s="57"/>
      <c r="Z1217" s="57"/>
      <c r="AA1217" s="57"/>
      <c r="AB1217" s="57"/>
      <c r="AC1217" s="57"/>
      <c r="AD1217" s="57"/>
      <c r="AE1217" s="57"/>
      <c r="AF1217" s="57"/>
      <c r="AG1217" s="57"/>
    </row>
    <row r="1218" spans="1:33" ht="20" customHeight="1">
      <c r="A1218" s="57"/>
      <c r="B1218" s="57"/>
      <c r="C1218" s="57"/>
      <c r="D1218" s="57"/>
      <c r="E1218" s="57"/>
      <c r="F1218" s="57"/>
      <c r="G1218" s="57"/>
      <c r="H1218" s="57"/>
      <c r="I1218" s="57"/>
      <c r="J1218" s="57"/>
      <c r="K1218" s="57"/>
      <c r="L1218" s="57"/>
      <c r="M1218" s="57"/>
      <c r="N1218" s="57"/>
      <c r="O1218" s="57"/>
      <c r="P1218" s="57"/>
      <c r="Q1218" s="58">
        <f t="shared" si="123"/>
        <v>48</v>
      </c>
      <c r="R1218" s="58">
        <f t="shared" si="124"/>
        <v>47</v>
      </c>
      <c r="S1218" s="57"/>
      <c r="T1218" s="57"/>
      <c r="U1218" s="57"/>
      <c r="V1218" s="57"/>
      <c r="W1218" s="57"/>
      <c r="X1218" s="57"/>
      <c r="Y1218" s="57"/>
      <c r="Z1218" s="57"/>
      <c r="AA1218" s="57"/>
      <c r="AB1218" s="57"/>
      <c r="AC1218" s="57"/>
      <c r="AD1218" s="57"/>
      <c r="AE1218" s="57"/>
      <c r="AF1218" s="57"/>
      <c r="AG1218" s="57"/>
    </row>
    <row r="1219" spans="1:33" ht="20" customHeight="1">
      <c r="A1219" s="57"/>
      <c r="B1219" s="57"/>
      <c r="C1219" s="57"/>
      <c r="D1219" s="57"/>
      <c r="E1219" s="57"/>
      <c r="F1219" s="57"/>
      <c r="G1219" s="57"/>
      <c r="H1219" s="57"/>
      <c r="I1219" s="57"/>
      <c r="J1219" s="57"/>
      <c r="K1219" s="57"/>
      <c r="L1219" s="57"/>
      <c r="M1219" s="57"/>
      <c r="N1219" s="57"/>
      <c r="O1219" s="57"/>
      <c r="P1219" s="57"/>
      <c r="Q1219" s="58">
        <f t="shared" si="123"/>
        <v>49</v>
      </c>
      <c r="R1219" s="58">
        <f t="shared" si="124"/>
        <v>48</v>
      </c>
      <c r="S1219" s="57"/>
      <c r="T1219" s="57"/>
      <c r="U1219" s="57"/>
      <c r="V1219" s="57"/>
      <c r="W1219" s="57"/>
      <c r="X1219" s="57"/>
      <c r="Y1219" s="57"/>
      <c r="Z1219" s="57"/>
      <c r="AA1219" s="57"/>
      <c r="AB1219" s="57"/>
      <c r="AC1219" s="57"/>
      <c r="AD1219" s="57"/>
      <c r="AE1219" s="57"/>
      <c r="AF1219" s="57"/>
      <c r="AG1219" s="57"/>
    </row>
    <row r="1220" spans="1:33" ht="20" customHeight="1">
      <c r="A1220" s="57"/>
      <c r="B1220" s="57"/>
      <c r="C1220" s="57"/>
      <c r="D1220" s="57"/>
      <c r="E1220" s="57"/>
      <c r="F1220" s="57"/>
      <c r="G1220" s="57"/>
      <c r="H1220" s="57"/>
      <c r="I1220" s="57"/>
      <c r="J1220" s="57"/>
      <c r="K1220" s="57"/>
      <c r="L1220" s="57"/>
      <c r="M1220" s="57"/>
      <c r="N1220" s="57"/>
      <c r="O1220" s="57"/>
      <c r="P1220" s="57"/>
      <c r="Q1220" s="58">
        <f t="shared" si="123"/>
        <v>50</v>
      </c>
      <c r="R1220" s="58">
        <f t="shared" si="124"/>
        <v>49</v>
      </c>
      <c r="S1220" s="57"/>
      <c r="T1220" s="57"/>
      <c r="U1220" s="57"/>
      <c r="V1220" s="57"/>
      <c r="W1220" s="57"/>
      <c r="X1220" s="57"/>
      <c r="Y1220" s="57"/>
      <c r="Z1220" s="57"/>
      <c r="AA1220" s="57"/>
      <c r="AB1220" s="57"/>
      <c r="AC1220" s="57"/>
      <c r="AD1220" s="57"/>
      <c r="AE1220" s="57"/>
      <c r="AF1220" s="57"/>
      <c r="AG1220" s="57"/>
    </row>
    <row r="1221" spans="1:33" ht="20" customHeight="1">
      <c r="A1221" s="57"/>
      <c r="B1221" s="57"/>
      <c r="C1221" s="57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57"/>
      <c r="P1221" s="57"/>
      <c r="Q1221" s="58">
        <f t="shared" si="123"/>
        <v>51</v>
      </c>
      <c r="R1221" s="58">
        <f t="shared" si="124"/>
        <v>50</v>
      </c>
      <c r="S1221" s="57"/>
      <c r="T1221" s="57"/>
      <c r="U1221" s="57"/>
      <c r="V1221" s="57"/>
      <c r="W1221" s="57"/>
      <c r="X1221" s="57"/>
      <c r="Y1221" s="57"/>
      <c r="Z1221" s="57"/>
      <c r="AA1221" s="57"/>
      <c r="AB1221" s="57"/>
      <c r="AC1221" s="57"/>
      <c r="AD1221" s="57"/>
      <c r="AE1221" s="57"/>
      <c r="AF1221" s="57"/>
      <c r="AG1221" s="57"/>
    </row>
    <row r="1222" spans="1:33" ht="20" customHeight="1">
      <c r="A1222" s="57"/>
      <c r="B1222" s="57"/>
      <c r="C1222" s="57"/>
      <c r="D1222" s="57"/>
      <c r="E1222" s="57"/>
      <c r="F1222" s="57"/>
      <c r="G1222" s="57"/>
      <c r="H1222" s="57"/>
      <c r="I1222" s="57"/>
      <c r="J1222" s="57"/>
      <c r="K1222" s="57"/>
      <c r="L1222" s="57"/>
      <c r="M1222" s="57"/>
      <c r="N1222" s="57"/>
      <c r="O1222" s="57"/>
      <c r="P1222" s="57"/>
      <c r="Q1222" s="58">
        <f t="shared" si="123"/>
        <v>52</v>
      </c>
      <c r="R1222" s="58">
        <f t="shared" si="124"/>
        <v>51</v>
      </c>
      <c r="S1222" s="57"/>
      <c r="T1222" s="57"/>
      <c r="U1222" s="57"/>
      <c r="V1222" s="57"/>
      <c r="W1222" s="57"/>
      <c r="X1222" s="57"/>
      <c r="Y1222" s="57"/>
      <c r="Z1222" s="57"/>
      <c r="AA1222" s="57"/>
      <c r="AB1222" s="57"/>
      <c r="AC1222" s="57"/>
      <c r="AD1222" s="57"/>
      <c r="AE1222" s="57"/>
      <c r="AF1222" s="57"/>
      <c r="AG1222" s="57"/>
    </row>
    <row r="1223" spans="1:33" ht="20" customHeight="1">
      <c r="A1223" s="57"/>
      <c r="B1223" s="57"/>
      <c r="C1223" s="57"/>
      <c r="D1223" s="57"/>
      <c r="E1223" s="57"/>
      <c r="F1223" s="57"/>
      <c r="G1223" s="57"/>
      <c r="H1223" s="57"/>
      <c r="I1223" s="57"/>
      <c r="J1223" s="57"/>
      <c r="K1223" s="57"/>
      <c r="L1223" s="57"/>
      <c r="M1223" s="57"/>
      <c r="N1223" s="57"/>
      <c r="O1223" s="57"/>
      <c r="P1223" s="57"/>
      <c r="Q1223" s="58">
        <f t="shared" si="123"/>
        <v>53</v>
      </c>
      <c r="R1223" s="58">
        <f t="shared" si="124"/>
        <v>52</v>
      </c>
      <c r="S1223" s="57"/>
      <c r="T1223" s="57"/>
      <c r="U1223" s="57"/>
      <c r="V1223" s="57"/>
      <c r="W1223" s="57"/>
      <c r="X1223" s="57"/>
      <c r="Y1223" s="57"/>
      <c r="Z1223" s="57"/>
      <c r="AA1223" s="57"/>
      <c r="AB1223" s="57"/>
      <c r="AC1223" s="57"/>
      <c r="AD1223" s="57"/>
      <c r="AE1223" s="57"/>
      <c r="AF1223" s="57"/>
      <c r="AG1223" s="57"/>
    </row>
    <row r="1224" spans="1:33" ht="20" customHeight="1">
      <c r="A1224" s="57"/>
      <c r="B1224" s="57"/>
      <c r="C1224" s="57"/>
      <c r="D1224" s="57"/>
      <c r="E1224" s="57"/>
      <c r="F1224" s="57"/>
      <c r="G1224" s="57"/>
      <c r="H1224" s="57"/>
      <c r="I1224" s="57"/>
      <c r="J1224" s="57"/>
      <c r="K1224" s="57"/>
      <c r="L1224" s="57"/>
      <c r="M1224" s="57"/>
      <c r="N1224" s="57"/>
      <c r="O1224" s="57"/>
      <c r="P1224" s="57"/>
      <c r="Q1224" s="58">
        <f t="shared" si="123"/>
        <v>54</v>
      </c>
      <c r="R1224" s="58">
        <f t="shared" si="124"/>
        <v>53</v>
      </c>
      <c r="S1224" s="57"/>
      <c r="T1224" s="57"/>
      <c r="U1224" s="57"/>
      <c r="V1224" s="57"/>
      <c r="W1224" s="57"/>
      <c r="X1224" s="57"/>
      <c r="Y1224" s="57"/>
      <c r="Z1224" s="57"/>
      <c r="AA1224" s="57"/>
      <c r="AB1224" s="57"/>
      <c r="AC1224" s="57"/>
      <c r="AD1224" s="57"/>
      <c r="AE1224" s="57"/>
      <c r="AF1224" s="57"/>
      <c r="AG1224" s="57"/>
    </row>
    <row r="1225" spans="1:33" ht="20" customHeight="1">
      <c r="A1225" s="57"/>
      <c r="B1225" s="57"/>
      <c r="C1225" s="57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57"/>
      <c r="P1225" s="57"/>
      <c r="Q1225" s="58">
        <f t="shared" si="123"/>
        <v>55</v>
      </c>
      <c r="R1225" s="58">
        <f t="shared" si="124"/>
        <v>54</v>
      </c>
      <c r="S1225" s="57"/>
      <c r="T1225" s="57"/>
      <c r="U1225" s="57"/>
      <c r="V1225" s="57"/>
      <c r="W1225" s="57"/>
      <c r="X1225" s="57"/>
      <c r="Y1225" s="57"/>
      <c r="Z1225" s="57"/>
      <c r="AA1225" s="57"/>
      <c r="AB1225" s="57"/>
      <c r="AC1225" s="57"/>
      <c r="AD1225" s="57"/>
      <c r="AE1225" s="57"/>
      <c r="AF1225" s="57"/>
      <c r="AG1225" s="57"/>
    </row>
    <row r="1226" spans="1:33" ht="20" customHeight="1">
      <c r="A1226" s="57"/>
      <c r="B1226" s="57"/>
      <c r="C1226" s="57"/>
      <c r="D1226" s="57"/>
      <c r="E1226" s="57"/>
      <c r="F1226" s="57"/>
      <c r="G1226" s="57"/>
      <c r="H1226" s="57"/>
      <c r="I1226" s="57"/>
      <c r="J1226" s="57"/>
      <c r="K1226" s="57"/>
      <c r="L1226" s="57"/>
      <c r="M1226" s="57"/>
      <c r="N1226" s="57"/>
      <c r="O1226" s="57"/>
      <c r="P1226" s="57"/>
      <c r="Q1226" s="58">
        <f t="shared" si="123"/>
        <v>56</v>
      </c>
      <c r="R1226" s="58">
        <f t="shared" si="124"/>
        <v>55</v>
      </c>
      <c r="S1226" s="57"/>
      <c r="T1226" s="57"/>
      <c r="U1226" s="57"/>
      <c r="V1226" s="57"/>
      <c r="W1226" s="57"/>
      <c r="X1226" s="57"/>
      <c r="Y1226" s="57"/>
      <c r="Z1226" s="57"/>
      <c r="AA1226" s="57"/>
      <c r="AB1226" s="57"/>
      <c r="AC1226" s="57"/>
      <c r="AD1226" s="57"/>
      <c r="AE1226" s="57"/>
      <c r="AF1226" s="57"/>
      <c r="AG1226" s="57"/>
    </row>
    <row r="1227" spans="1:33" ht="20" customHeight="1">
      <c r="A1227" s="57"/>
      <c r="B1227" s="57"/>
      <c r="C1227" s="57"/>
      <c r="D1227" s="57"/>
      <c r="E1227" s="57"/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  <c r="P1227" s="57"/>
      <c r="Q1227" s="58">
        <f t="shared" si="123"/>
        <v>57</v>
      </c>
      <c r="R1227" s="58">
        <f t="shared" si="124"/>
        <v>56</v>
      </c>
      <c r="S1227" s="57"/>
      <c r="T1227" s="57"/>
      <c r="U1227" s="57"/>
      <c r="V1227" s="57"/>
      <c r="W1227" s="57"/>
      <c r="X1227" s="57"/>
      <c r="Y1227" s="57"/>
      <c r="Z1227" s="57"/>
      <c r="AA1227" s="57"/>
      <c r="AB1227" s="57"/>
      <c r="AC1227" s="57"/>
      <c r="AD1227" s="57"/>
      <c r="AE1227" s="57"/>
      <c r="AF1227" s="57"/>
      <c r="AG1227" s="57"/>
    </row>
    <row r="1228" spans="1:33" ht="20" customHeight="1">
      <c r="A1228" s="57"/>
      <c r="B1228" s="57"/>
      <c r="C1228" s="57"/>
      <c r="D1228" s="57"/>
      <c r="E1228" s="57"/>
      <c r="F1228" s="57"/>
      <c r="G1228" s="57"/>
      <c r="H1228" s="57"/>
      <c r="I1228" s="57"/>
      <c r="J1228" s="57"/>
      <c r="K1228" s="57"/>
      <c r="L1228" s="57"/>
      <c r="M1228" s="57"/>
      <c r="N1228" s="57"/>
      <c r="O1228" s="57"/>
      <c r="P1228" s="57"/>
      <c r="Q1228" s="58">
        <f t="shared" si="123"/>
        <v>58</v>
      </c>
      <c r="R1228" s="58">
        <f t="shared" si="124"/>
        <v>57</v>
      </c>
      <c r="S1228" s="57"/>
      <c r="T1228" s="57"/>
      <c r="U1228" s="57"/>
      <c r="V1228" s="57"/>
      <c r="W1228" s="57"/>
      <c r="X1228" s="57"/>
      <c r="Y1228" s="57"/>
      <c r="Z1228" s="57"/>
      <c r="AA1228" s="57"/>
      <c r="AB1228" s="57"/>
      <c r="AC1228" s="57"/>
      <c r="AD1228" s="57"/>
      <c r="AE1228" s="57"/>
      <c r="AF1228" s="57"/>
      <c r="AG1228" s="57"/>
    </row>
    <row r="1229" spans="1:33" ht="20" customHeight="1">
      <c r="A1229" s="57"/>
      <c r="B1229" s="57"/>
      <c r="C1229" s="57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57"/>
      <c r="P1229" s="57"/>
      <c r="Q1229" s="58">
        <f t="shared" si="123"/>
        <v>59</v>
      </c>
      <c r="R1229" s="58">
        <f t="shared" si="124"/>
        <v>58</v>
      </c>
      <c r="S1229" s="57"/>
      <c r="T1229" s="57"/>
      <c r="U1229" s="57"/>
      <c r="V1229" s="57"/>
      <c r="W1229" s="57"/>
      <c r="X1229" s="57"/>
      <c r="Y1229" s="57"/>
      <c r="Z1229" s="57"/>
      <c r="AA1229" s="57"/>
      <c r="AB1229" s="57"/>
      <c r="AC1229" s="57"/>
      <c r="AD1229" s="57"/>
      <c r="AE1229" s="57"/>
      <c r="AF1229" s="57"/>
      <c r="AG1229" s="57"/>
    </row>
    <row r="1230" spans="1:33" ht="20" customHeight="1">
      <c r="A1230" s="57"/>
      <c r="B1230" s="57"/>
      <c r="C1230" s="57"/>
      <c r="D1230" s="57"/>
      <c r="E1230" s="57"/>
      <c r="F1230" s="57"/>
      <c r="G1230" s="57"/>
      <c r="H1230" s="57"/>
      <c r="I1230" s="57"/>
      <c r="J1230" s="57"/>
      <c r="K1230" s="57"/>
      <c r="L1230" s="57"/>
      <c r="M1230" s="57"/>
      <c r="N1230" s="57"/>
      <c r="O1230" s="57"/>
      <c r="P1230" s="57"/>
      <c r="Q1230" s="58">
        <f t="shared" si="123"/>
        <v>60</v>
      </c>
      <c r="R1230" s="58">
        <f t="shared" si="124"/>
        <v>59</v>
      </c>
      <c r="S1230" s="57"/>
      <c r="T1230" s="57"/>
      <c r="U1230" s="57"/>
      <c r="V1230" s="57"/>
      <c r="W1230" s="57"/>
      <c r="X1230" s="57"/>
      <c r="Y1230" s="57"/>
      <c r="Z1230" s="57"/>
      <c r="AA1230" s="57"/>
      <c r="AB1230" s="57"/>
      <c r="AC1230" s="57"/>
      <c r="AD1230" s="57"/>
      <c r="AE1230" s="57"/>
      <c r="AF1230" s="57"/>
      <c r="AG1230" s="57"/>
    </row>
    <row r="1231" spans="1:33" ht="20" customHeight="1">
      <c r="A1231" s="57"/>
      <c r="B1231" s="57"/>
      <c r="C1231" s="57"/>
      <c r="D1231" s="57"/>
      <c r="E1231" s="57"/>
      <c r="F1231" s="57"/>
      <c r="G1231" s="57"/>
      <c r="H1231" s="57"/>
      <c r="I1231" s="57"/>
      <c r="J1231" s="57"/>
      <c r="K1231" s="57"/>
      <c r="L1231" s="57"/>
      <c r="M1231" s="57"/>
      <c r="N1231" s="57"/>
      <c r="O1231" s="57"/>
      <c r="P1231" s="57"/>
      <c r="Q1231" s="58">
        <f t="shared" si="123"/>
        <v>61</v>
      </c>
      <c r="R1231" s="58">
        <f t="shared" si="124"/>
        <v>60</v>
      </c>
      <c r="S1231" s="57"/>
      <c r="T1231" s="57"/>
      <c r="U1231" s="57"/>
      <c r="V1231" s="57"/>
      <c r="W1231" s="57"/>
      <c r="X1231" s="57"/>
      <c r="Y1231" s="57"/>
      <c r="Z1231" s="57"/>
      <c r="AA1231" s="57"/>
      <c r="AB1231" s="57"/>
      <c r="AC1231" s="57"/>
      <c r="AD1231" s="57"/>
      <c r="AE1231" s="57"/>
      <c r="AF1231" s="57"/>
      <c r="AG1231" s="57"/>
    </row>
    <row r="1232" spans="1:33" ht="20" customHeight="1">
      <c r="A1232" s="57"/>
      <c r="B1232" s="57"/>
      <c r="C1232" s="57"/>
      <c r="D1232" s="57"/>
      <c r="E1232" s="57"/>
      <c r="F1232" s="57"/>
      <c r="G1232" s="57"/>
      <c r="H1232" s="57"/>
      <c r="I1232" s="57"/>
      <c r="J1232" s="57"/>
      <c r="K1232" s="57"/>
      <c r="L1232" s="57"/>
      <c r="M1232" s="57"/>
      <c r="N1232" s="57"/>
      <c r="O1232" s="57"/>
      <c r="P1232" s="57"/>
      <c r="Q1232" s="58">
        <f t="shared" si="123"/>
        <v>62</v>
      </c>
      <c r="R1232" s="58">
        <f t="shared" si="124"/>
        <v>61</v>
      </c>
      <c r="S1232" s="57"/>
      <c r="T1232" s="57"/>
      <c r="U1232" s="57"/>
      <c r="V1232" s="57"/>
      <c r="W1232" s="57"/>
      <c r="X1232" s="57"/>
      <c r="Y1232" s="57"/>
      <c r="Z1232" s="57"/>
      <c r="AA1232" s="57"/>
      <c r="AB1232" s="57"/>
      <c r="AC1232" s="57"/>
      <c r="AD1232" s="57"/>
      <c r="AE1232" s="57"/>
      <c r="AF1232" s="57"/>
      <c r="AG1232" s="57"/>
    </row>
    <row r="1233" spans="1:33" ht="20" customHeight="1">
      <c r="A1233" s="57"/>
      <c r="B1233" s="57"/>
      <c r="C1233" s="57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57"/>
      <c r="P1233" s="57"/>
      <c r="Q1233" s="58">
        <f t="shared" si="123"/>
        <v>63</v>
      </c>
      <c r="R1233" s="58">
        <f t="shared" si="124"/>
        <v>62</v>
      </c>
      <c r="S1233" s="57"/>
      <c r="T1233" s="57"/>
      <c r="U1233" s="57"/>
      <c r="V1233" s="57"/>
      <c r="W1233" s="57"/>
      <c r="X1233" s="57"/>
      <c r="Y1233" s="57"/>
      <c r="Z1233" s="57"/>
      <c r="AA1233" s="57"/>
      <c r="AB1233" s="57"/>
      <c r="AC1233" s="57"/>
      <c r="AD1233" s="57"/>
      <c r="AE1233" s="57"/>
      <c r="AF1233" s="57"/>
      <c r="AG1233" s="57"/>
    </row>
    <row r="1234" spans="1:33" ht="20" customHeight="1">
      <c r="A1234" s="57"/>
      <c r="B1234" s="57"/>
      <c r="C1234" s="57"/>
      <c r="D1234" s="57"/>
      <c r="E1234" s="57"/>
      <c r="F1234" s="57"/>
      <c r="G1234" s="57"/>
      <c r="H1234" s="57"/>
      <c r="I1234" s="57"/>
      <c r="J1234" s="57"/>
      <c r="K1234" s="57"/>
      <c r="L1234" s="57"/>
      <c r="M1234" s="57"/>
      <c r="N1234" s="57"/>
      <c r="O1234" s="57"/>
      <c r="P1234" s="57"/>
      <c r="Q1234" s="58">
        <f t="shared" si="123"/>
        <v>64</v>
      </c>
      <c r="R1234" s="58">
        <f t="shared" si="124"/>
        <v>63</v>
      </c>
      <c r="S1234" s="57"/>
      <c r="T1234" s="57"/>
      <c r="U1234" s="57"/>
      <c r="V1234" s="57"/>
      <c r="W1234" s="57"/>
      <c r="X1234" s="57"/>
      <c r="Y1234" s="57"/>
      <c r="Z1234" s="57"/>
      <c r="AA1234" s="57"/>
      <c r="AB1234" s="57"/>
      <c r="AC1234" s="57"/>
      <c r="AD1234" s="57"/>
      <c r="AE1234" s="57"/>
      <c r="AF1234" s="57"/>
      <c r="AG1234" s="57"/>
    </row>
    <row r="1235" spans="1:33" ht="20" customHeight="1">
      <c r="A1235" s="57"/>
      <c r="B1235" s="57"/>
      <c r="C1235" s="57"/>
      <c r="D1235" s="57"/>
      <c r="E1235" s="57"/>
      <c r="F1235" s="57"/>
      <c r="G1235" s="57"/>
      <c r="H1235" s="57"/>
      <c r="I1235" s="57"/>
      <c r="J1235" s="57"/>
      <c r="K1235" s="57"/>
      <c r="L1235" s="57"/>
      <c r="M1235" s="57"/>
      <c r="N1235" s="57"/>
      <c r="O1235" s="57"/>
      <c r="P1235" s="57"/>
      <c r="Q1235" s="58">
        <f t="shared" si="123"/>
        <v>65</v>
      </c>
      <c r="R1235" s="58">
        <f t="shared" si="124"/>
        <v>64</v>
      </c>
      <c r="S1235" s="57"/>
      <c r="T1235" s="57"/>
      <c r="U1235" s="57"/>
      <c r="V1235" s="57"/>
      <c r="W1235" s="57"/>
      <c r="X1235" s="57"/>
      <c r="Y1235" s="57"/>
      <c r="Z1235" s="57"/>
      <c r="AA1235" s="57"/>
      <c r="AB1235" s="57"/>
      <c r="AC1235" s="57"/>
      <c r="AD1235" s="57"/>
      <c r="AE1235" s="57"/>
      <c r="AF1235" s="57"/>
      <c r="AG1235" s="57"/>
    </row>
    <row r="1236" spans="1:33" ht="20" customHeight="1">
      <c r="A1236" s="57"/>
      <c r="B1236" s="57"/>
      <c r="C1236" s="57"/>
      <c r="D1236" s="57"/>
      <c r="E1236" s="57"/>
      <c r="F1236" s="57"/>
      <c r="G1236" s="57"/>
      <c r="H1236" s="57"/>
      <c r="I1236" s="57"/>
      <c r="J1236" s="57"/>
      <c r="K1236" s="57"/>
      <c r="L1236" s="57"/>
      <c r="M1236" s="57"/>
      <c r="N1236" s="57"/>
      <c r="O1236" s="57"/>
      <c r="P1236" s="57"/>
      <c r="Q1236" s="58">
        <f t="shared" ref="Q1236:Q1271" si="125">+Q1235+1</f>
        <v>66</v>
      </c>
      <c r="R1236" s="58">
        <f t="shared" si="124"/>
        <v>65</v>
      </c>
      <c r="S1236" s="57"/>
      <c r="T1236" s="57"/>
      <c r="U1236" s="57"/>
      <c r="V1236" s="57"/>
      <c r="W1236" s="57"/>
      <c r="X1236" s="57"/>
      <c r="Y1236" s="57"/>
      <c r="Z1236" s="57"/>
      <c r="AA1236" s="57"/>
      <c r="AB1236" s="57"/>
      <c r="AC1236" s="57"/>
      <c r="AD1236" s="57"/>
      <c r="AE1236" s="57"/>
      <c r="AF1236" s="57"/>
      <c r="AG1236" s="57"/>
    </row>
    <row r="1237" spans="1:33" ht="20" customHeight="1">
      <c r="A1237" s="57"/>
      <c r="B1237" s="57"/>
      <c r="C1237" s="57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57"/>
      <c r="P1237" s="57"/>
      <c r="Q1237" s="58">
        <f t="shared" si="125"/>
        <v>67</v>
      </c>
      <c r="R1237" s="58">
        <f t="shared" ref="R1237:R1271" si="126">+R1236+1</f>
        <v>66</v>
      </c>
      <c r="S1237" s="57"/>
      <c r="T1237" s="57"/>
      <c r="U1237" s="57"/>
      <c r="V1237" s="57"/>
      <c r="W1237" s="57"/>
      <c r="X1237" s="57"/>
      <c r="Y1237" s="57"/>
      <c r="Z1237" s="57"/>
      <c r="AA1237" s="57"/>
      <c r="AB1237" s="57"/>
      <c r="AC1237" s="57"/>
      <c r="AD1237" s="57"/>
      <c r="AE1237" s="57"/>
      <c r="AF1237" s="57"/>
      <c r="AG1237" s="57"/>
    </row>
    <row r="1238" spans="1:33" ht="20" customHeight="1">
      <c r="A1238" s="57"/>
      <c r="B1238" s="57"/>
      <c r="C1238" s="57"/>
      <c r="D1238" s="57"/>
      <c r="E1238" s="57"/>
      <c r="F1238" s="57"/>
      <c r="G1238" s="57"/>
      <c r="H1238" s="57"/>
      <c r="I1238" s="57"/>
      <c r="J1238" s="57"/>
      <c r="K1238" s="57"/>
      <c r="L1238" s="57"/>
      <c r="M1238" s="57"/>
      <c r="N1238" s="57"/>
      <c r="O1238" s="57"/>
      <c r="P1238" s="57"/>
      <c r="Q1238" s="58">
        <f t="shared" si="125"/>
        <v>68</v>
      </c>
      <c r="R1238" s="58">
        <f t="shared" si="126"/>
        <v>67</v>
      </c>
      <c r="S1238" s="57"/>
      <c r="T1238" s="57"/>
      <c r="U1238" s="57"/>
      <c r="V1238" s="57"/>
      <c r="W1238" s="57"/>
      <c r="X1238" s="57"/>
      <c r="Y1238" s="57"/>
      <c r="Z1238" s="57"/>
      <c r="AA1238" s="57"/>
      <c r="AB1238" s="57"/>
      <c r="AC1238" s="57"/>
      <c r="AD1238" s="57"/>
      <c r="AE1238" s="57"/>
      <c r="AF1238" s="57"/>
      <c r="AG1238" s="57"/>
    </row>
    <row r="1239" spans="1:33" ht="20" customHeight="1">
      <c r="A1239" s="57"/>
      <c r="B1239" s="57"/>
      <c r="C1239" s="57"/>
      <c r="D1239" s="57"/>
      <c r="E1239" s="57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8">
        <f t="shared" si="125"/>
        <v>69</v>
      </c>
      <c r="R1239" s="58">
        <f t="shared" si="126"/>
        <v>68</v>
      </c>
      <c r="S1239" s="57"/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7"/>
      <c r="AD1239" s="57"/>
      <c r="AE1239" s="57"/>
      <c r="AF1239" s="57"/>
      <c r="AG1239" s="57"/>
    </row>
    <row r="1240" spans="1:33" ht="20" customHeight="1">
      <c r="A1240" s="57"/>
      <c r="B1240" s="57"/>
      <c r="C1240" s="57"/>
      <c r="D1240" s="57"/>
      <c r="E1240" s="57"/>
      <c r="F1240" s="57"/>
      <c r="G1240" s="57"/>
      <c r="H1240" s="57"/>
      <c r="I1240" s="57"/>
      <c r="J1240" s="57"/>
      <c r="K1240" s="57"/>
      <c r="L1240" s="57"/>
      <c r="M1240" s="57"/>
      <c r="N1240" s="57"/>
      <c r="O1240" s="57"/>
      <c r="P1240" s="57"/>
      <c r="Q1240" s="58">
        <f t="shared" si="125"/>
        <v>70</v>
      </c>
      <c r="R1240" s="58">
        <f t="shared" si="126"/>
        <v>69</v>
      </c>
      <c r="S1240" s="57"/>
      <c r="T1240" s="57"/>
      <c r="U1240" s="57"/>
      <c r="V1240" s="57"/>
      <c r="W1240" s="57"/>
      <c r="X1240" s="57"/>
      <c r="Y1240" s="57"/>
      <c r="Z1240" s="57"/>
      <c r="AA1240" s="57"/>
      <c r="AB1240" s="57"/>
      <c r="AC1240" s="57"/>
      <c r="AD1240" s="57"/>
      <c r="AE1240" s="57"/>
      <c r="AF1240" s="57"/>
      <c r="AG1240" s="57"/>
    </row>
    <row r="1241" spans="1:33" ht="20" customHeight="1">
      <c r="A1241" s="57"/>
      <c r="B1241" s="57"/>
      <c r="C1241" s="57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57"/>
      <c r="P1241" s="57"/>
      <c r="Q1241" s="58">
        <f t="shared" si="125"/>
        <v>71</v>
      </c>
      <c r="R1241" s="58">
        <f t="shared" si="126"/>
        <v>70</v>
      </c>
      <c r="S1241" s="57"/>
      <c r="T1241" s="57"/>
      <c r="U1241" s="57"/>
      <c r="V1241" s="57"/>
      <c r="W1241" s="57"/>
      <c r="X1241" s="57"/>
      <c r="Y1241" s="57"/>
      <c r="Z1241" s="57"/>
      <c r="AA1241" s="57"/>
      <c r="AB1241" s="57"/>
      <c r="AC1241" s="57"/>
      <c r="AD1241" s="57"/>
      <c r="AE1241" s="57"/>
      <c r="AF1241" s="57"/>
      <c r="AG1241" s="57"/>
    </row>
    <row r="1242" spans="1:33" ht="20" customHeight="1">
      <c r="A1242" s="57"/>
      <c r="B1242" s="57"/>
      <c r="C1242" s="57"/>
      <c r="D1242" s="57"/>
      <c r="E1242" s="57"/>
      <c r="F1242" s="57"/>
      <c r="G1242" s="57"/>
      <c r="H1242" s="57"/>
      <c r="I1242" s="57"/>
      <c r="J1242" s="57"/>
      <c r="K1242" s="57"/>
      <c r="L1242" s="57"/>
      <c r="M1242" s="57"/>
      <c r="N1242" s="57"/>
      <c r="O1242" s="57"/>
      <c r="P1242" s="57"/>
      <c r="Q1242" s="58">
        <f t="shared" si="125"/>
        <v>72</v>
      </c>
      <c r="R1242" s="58">
        <f t="shared" si="126"/>
        <v>71</v>
      </c>
      <c r="S1242" s="57"/>
      <c r="T1242" s="57"/>
      <c r="U1242" s="57"/>
      <c r="V1242" s="57"/>
      <c r="W1242" s="57"/>
      <c r="X1242" s="57"/>
      <c r="Y1242" s="57"/>
      <c r="Z1242" s="57"/>
      <c r="AA1242" s="57"/>
      <c r="AB1242" s="57"/>
      <c r="AC1242" s="57"/>
      <c r="AD1242" s="57"/>
      <c r="AE1242" s="57"/>
      <c r="AF1242" s="57"/>
      <c r="AG1242" s="57"/>
    </row>
    <row r="1243" spans="1:33" ht="20" customHeight="1">
      <c r="A1243" s="57"/>
      <c r="B1243" s="57"/>
      <c r="C1243" s="57"/>
      <c r="D1243" s="57"/>
      <c r="E1243" s="57"/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  <c r="P1243" s="57"/>
      <c r="Q1243" s="58">
        <f t="shared" si="125"/>
        <v>73</v>
      </c>
      <c r="R1243" s="58">
        <f t="shared" si="126"/>
        <v>72</v>
      </c>
      <c r="S1243" s="57"/>
      <c r="T1243" s="57"/>
      <c r="U1243" s="57"/>
      <c r="V1243" s="57"/>
      <c r="W1243" s="57"/>
      <c r="X1243" s="57"/>
      <c r="Y1243" s="57"/>
      <c r="Z1243" s="57"/>
      <c r="AA1243" s="57"/>
      <c r="AB1243" s="57"/>
      <c r="AC1243" s="57"/>
      <c r="AD1243" s="57"/>
      <c r="AE1243" s="57"/>
      <c r="AF1243" s="57"/>
      <c r="AG1243" s="57"/>
    </row>
    <row r="1244" spans="1:33" ht="20" customHeight="1">
      <c r="A1244" s="57"/>
      <c r="B1244" s="57"/>
      <c r="C1244" s="57"/>
      <c r="D1244" s="57"/>
      <c r="E1244" s="57"/>
      <c r="F1244" s="57"/>
      <c r="G1244" s="57"/>
      <c r="H1244" s="57"/>
      <c r="I1244" s="57"/>
      <c r="J1244" s="57"/>
      <c r="K1244" s="57"/>
      <c r="L1244" s="57"/>
      <c r="M1244" s="57"/>
      <c r="N1244" s="57"/>
      <c r="O1244" s="57"/>
      <c r="P1244" s="57"/>
      <c r="Q1244" s="58">
        <f t="shared" si="125"/>
        <v>74</v>
      </c>
      <c r="R1244" s="58">
        <f t="shared" si="126"/>
        <v>73</v>
      </c>
      <c r="S1244" s="57"/>
      <c r="T1244" s="57"/>
      <c r="U1244" s="57"/>
      <c r="V1244" s="57"/>
      <c r="W1244" s="57"/>
      <c r="X1244" s="57"/>
      <c r="Y1244" s="57"/>
      <c r="Z1244" s="57"/>
      <c r="AA1244" s="57"/>
      <c r="AB1244" s="57"/>
      <c r="AC1244" s="57"/>
      <c r="AD1244" s="57"/>
      <c r="AE1244" s="57"/>
      <c r="AF1244" s="57"/>
      <c r="AG1244" s="57"/>
    </row>
    <row r="1245" spans="1:33" ht="20" customHeight="1">
      <c r="A1245" s="57"/>
      <c r="B1245" s="57"/>
      <c r="C1245" s="57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57"/>
      <c r="P1245" s="57"/>
      <c r="Q1245" s="58">
        <f t="shared" si="125"/>
        <v>75</v>
      </c>
      <c r="R1245" s="58">
        <f t="shared" si="126"/>
        <v>74</v>
      </c>
      <c r="S1245" s="57"/>
      <c r="T1245" s="57"/>
      <c r="U1245" s="57"/>
      <c r="V1245" s="57"/>
      <c r="W1245" s="57"/>
      <c r="X1245" s="57"/>
      <c r="Y1245" s="57"/>
      <c r="Z1245" s="57"/>
      <c r="AA1245" s="57"/>
      <c r="AB1245" s="57"/>
      <c r="AC1245" s="57"/>
      <c r="AD1245" s="57"/>
      <c r="AE1245" s="57"/>
      <c r="AF1245" s="57"/>
      <c r="AG1245" s="57"/>
    </row>
    <row r="1246" spans="1:33" ht="20" customHeight="1">
      <c r="A1246" s="57"/>
      <c r="B1246" s="57"/>
      <c r="C1246" s="57"/>
      <c r="D1246" s="57"/>
      <c r="E1246" s="57"/>
      <c r="F1246" s="57"/>
      <c r="G1246" s="57"/>
      <c r="H1246" s="57"/>
      <c r="I1246" s="57"/>
      <c r="J1246" s="57"/>
      <c r="K1246" s="57"/>
      <c r="L1246" s="57"/>
      <c r="M1246" s="57"/>
      <c r="N1246" s="57"/>
      <c r="O1246" s="57"/>
      <c r="P1246" s="57"/>
      <c r="Q1246" s="58">
        <f t="shared" si="125"/>
        <v>76</v>
      </c>
      <c r="R1246" s="58">
        <f t="shared" si="126"/>
        <v>75</v>
      </c>
      <c r="S1246" s="57"/>
      <c r="T1246" s="57"/>
      <c r="U1246" s="57"/>
      <c r="V1246" s="57"/>
      <c r="W1246" s="57"/>
      <c r="X1246" s="57"/>
      <c r="Y1246" s="57"/>
      <c r="Z1246" s="57"/>
      <c r="AA1246" s="57"/>
      <c r="AB1246" s="57"/>
      <c r="AC1246" s="57"/>
      <c r="AD1246" s="57"/>
      <c r="AE1246" s="57"/>
      <c r="AF1246" s="57"/>
      <c r="AG1246" s="57"/>
    </row>
    <row r="1247" spans="1:33" ht="20" customHeight="1">
      <c r="A1247" s="57"/>
      <c r="B1247" s="57"/>
      <c r="C1247" s="57"/>
      <c r="D1247" s="57"/>
      <c r="E1247" s="57"/>
      <c r="F1247" s="57"/>
      <c r="G1247" s="57"/>
      <c r="H1247" s="57"/>
      <c r="I1247" s="57"/>
      <c r="J1247" s="57"/>
      <c r="K1247" s="57"/>
      <c r="L1247" s="57"/>
      <c r="M1247" s="57"/>
      <c r="N1247" s="57"/>
      <c r="O1247" s="57"/>
      <c r="P1247" s="57"/>
      <c r="Q1247" s="58">
        <f t="shared" si="125"/>
        <v>77</v>
      </c>
      <c r="R1247" s="58">
        <f t="shared" si="126"/>
        <v>76</v>
      </c>
      <c r="S1247" s="57"/>
      <c r="T1247" s="57"/>
      <c r="U1247" s="57"/>
      <c r="V1247" s="57"/>
      <c r="W1247" s="57"/>
      <c r="X1247" s="57"/>
      <c r="Y1247" s="57"/>
      <c r="Z1247" s="57"/>
      <c r="AA1247" s="57"/>
      <c r="AB1247" s="57"/>
      <c r="AC1247" s="57"/>
      <c r="AD1247" s="57"/>
      <c r="AE1247" s="57"/>
      <c r="AF1247" s="57"/>
      <c r="AG1247" s="57"/>
    </row>
    <row r="1248" spans="1:33" ht="20" customHeight="1">
      <c r="A1248" s="57"/>
      <c r="B1248" s="57"/>
      <c r="C1248" s="57"/>
      <c r="D1248" s="57"/>
      <c r="E1248" s="57"/>
      <c r="F1248" s="57"/>
      <c r="G1248" s="57"/>
      <c r="H1248" s="57"/>
      <c r="I1248" s="57"/>
      <c r="J1248" s="57"/>
      <c r="K1248" s="57"/>
      <c r="L1248" s="57"/>
      <c r="M1248" s="57"/>
      <c r="N1248" s="57"/>
      <c r="O1248" s="57"/>
      <c r="P1248" s="57"/>
      <c r="Q1248" s="58">
        <f t="shared" si="125"/>
        <v>78</v>
      </c>
      <c r="R1248" s="58">
        <f t="shared" si="126"/>
        <v>77</v>
      </c>
      <c r="S1248" s="57"/>
      <c r="T1248" s="57"/>
      <c r="U1248" s="57"/>
      <c r="V1248" s="57"/>
      <c r="W1248" s="57"/>
      <c r="X1248" s="57"/>
      <c r="Y1248" s="57"/>
      <c r="Z1248" s="57"/>
      <c r="AA1248" s="57"/>
      <c r="AB1248" s="57"/>
      <c r="AC1248" s="57"/>
      <c r="AD1248" s="57"/>
      <c r="AE1248" s="57"/>
      <c r="AF1248" s="57"/>
      <c r="AG1248" s="57"/>
    </row>
    <row r="1249" spans="1:33" ht="20" customHeight="1">
      <c r="A1249" s="57"/>
      <c r="B1249" s="57"/>
      <c r="C1249" s="57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57"/>
      <c r="P1249" s="57"/>
      <c r="Q1249" s="58">
        <f t="shared" si="125"/>
        <v>79</v>
      </c>
      <c r="R1249" s="58">
        <f t="shared" si="126"/>
        <v>78</v>
      </c>
      <c r="S1249" s="57"/>
      <c r="T1249" s="57"/>
      <c r="U1249" s="57"/>
      <c r="V1249" s="57"/>
      <c r="W1249" s="57"/>
      <c r="X1249" s="57"/>
      <c r="Y1249" s="57"/>
      <c r="Z1249" s="57"/>
      <c r="AA1249" s="57"/>
      <c r="AB1249" s="57"/>
      <c r="AC1249" s="57"/>
      <c r="AD1249" s="57"/>
      <c r="AE1249" s="57"/>
      <c r="AF1249" s="57"/>
      <c r="AG1249" s="57"/>
    </row>
    <row r="1250" spans="1:33" ht="20" customHeight="1">
      <c r="A1250" s="57"/>
      <c r="B1250" s="57"/>
      <c r="C1250" s="57"/>
      <c r="D1250" s="57"/>
      <c r="E1250" s="57"/>
      <c r="F1250" s="57"/>
      <c r="G1250" s="57"/>
      <c r="H1250" s="57"/>
      <c r="I1250" s="57"/>
      <c r="J1250" s="57"/>
      <c r="K1250" s="57"/>
      <c r="L1250" s="57"/>
      <c r="M1250" s="57"/>
      <c r="N1250" s="57"/>
      <c r="O1250" s="57"/>
      <c r="P1250" s="57"/>
      <c r="Q1250" s="58">
        <f t="shared" si="125"/>
        <v>80</v>
      </c>
      <c r="R1250" s="58">
        <f t="shared" si="126"/>
        <v>79</v>
      </c>
      <c r="S1250" s="57"/>
      <c r="T1250" s="57"/>
      <c r="U1250" s="57"/>
      <c r="V1250" s="57"/>
      <c r="W1250" s="57"/>
      <c r="X1250" s="57"/>
      <c r="Y1250" s="57"/>
      <c r="Z1250" s="57"/>
      <c r="AA1250" s="57"/>
      <c r="AB1250" s="57"/>
      <c r="AC1250" s="57"/>
      <c r="AD1250" s="57"/>
      <c r="AE1250" s="57"/>
      <c r="AF1250" s="57"/>
      <c r="AG1250" s="57"/>
    </row>
    <row r="1251" spans="1:33" ht="20" customHeight="1">
      <c r="A1251" s="57"/>
      <c r="B1251" s="57"/>
      <c r="C1251" s="57"/>
      <c r="D1251" s="57"/>
      <c r="E1251" s="57"/>
      <c r="F1251" s="57"/>
      <c r="G1251" s="57"/>
      <c r="H1251" s="57"/>
      <c r="I1251" s="57"/>
      <c r="J1251" s="57"/>
      <c r="K1251" s="57"/>
      <c r="L1251" s="57"/>
      <c r="M1251" s="57"/>
      <c r="N1251" s="57"/>
      <c r="O1251" s="57"/>
      <c r="P1251" s="57"/>
      <c r="Q1251" s="58">
        <f t="shared" si="125"/>
        <v>81</v>
      </c>
      <c r="R1251" s="58">
        <f t="shared" si="126"/>
        <v>80</v>
      </c>
      <c r="S1251" s="57"/>
      <c r="T1251" s="57"/>
      <c r="U1251" s="57"/>
      <c r="V1251" s="57"/>
      <c r="W1251" s="57"/>
      <c r="X1251" s="57"/>
      <c r="Y1251" s="57"/>
      <c r="Z1251" s="57"/>
      <c r="AA1251" s="57"/>
      <c r="AB1251" s="57"/>
      <c r="AC1251" s="57"/>
      <c r="AD1251" s="57"/>
      <c r="AE1251" s="57"/>
      <c r="AF1251" s="57"/>
      <c r="AG1251" s="57"/>
    </row>
    <row r="1252" spans="1:33" ht="20" customHeight="1">
      <c r="A1252" s="57"/>
      <c r="B1252" s="57"/>
      <c r="C1252" s="57"/>
      <c r="D1252" s="57"/>
      <c r="E1252" s="57"/>
      <c r="F1252" s="57"/>
      <c r="G1252" s="57"/>
      <c r="H1252" s="57"/>
      <c r="I1252" s="57"/>
      <c r="J1252" s="57"/>
      <c r="K1252" s="57"/>
      <c r="L1252" s="57"/>
      <c r="M1252" s="57"/>
      <c r="N1252" s="57"/>
      <c r="O1252" s="57"/>
      <c r="P1252" s="57"/>
      <c r="Q1252" s="58">
        <f t="shared" si="125"/>
        <v>82</v>
      </c>
      <c r="R1252" s="58">
        <f t="shared" si="126"/>
        <v>81</v>
      </c>
      <c r="S1252" s="57"/>
      <c r="T1252" s="57"/>
      <c r="U1252" s="57"/>
      <c r="V1252" s="57"/>
      <c r="W1252" s="57"/>
      <c r="X1252" s="57"/>
      <c r="Y1252" s="57"/>
      <c r="Z1252" s="57"/>
      <c r="AA1252" s="57"/>
      <c r="AB1252" s="57"/>
      <c r="AC1252" s="57"/>
      <c r="AD1252" s="57"/>
      <c r="AE1252" s="57"/>
      <c r="AF1252" s="57"/>
      <c r="AG1252" s="57"/>
    </row>
    <row r="1253" spans="1:33" ht="20" customHeight="1">
      <c r="A1253" s="57"/>
      <c r="B1253" s="57"/>
      <c r="C1253" s="57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57"/>
      <c r="P1253" s="57"/>
      <c r="Q1253" s="58">
        <f t="shared" si="125"/>
        <v>83</v>
      </c>
      <c r="R1253" s="58">
        <f t="shared" si="126"/>
        <v>82</v>
      </c>
      <c r="S1253" s="57"/>
      <c r="T1253" s="57"/>
      <c r="U1253" s="57"/>
      <c r="V1253" s="57"/>
      <c r="W1253" s="57"/>
      <c r="X1253" s="57"/>
      <c r="Y1253" s="57"/>
      <c r="Z1253" s="57"/>
      <c r="AA1253" s="57"/>
      <c r="AB1253" s="57"/>
      <c r="AC1253" s="57"/>
      <c r="AD1253" s="57"/>
      <c r="AE1253" s="57"/>
      <c r="AF1253" s="57"/>
      <c r="AG1253" s="57"/>
    </row>
    <row r="1254" spans="1:33" ht="20" customHeight="1">
      <c r="A1254" s="57"/>
      <c r="B1254" s="57"/>
      <c r="C1254" s="57"/>
      <c r="D1254" s="57"/>
      <c r="E1254" s="57"/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  <c r="P1254" s="57"/>
      <c r="Q1254" s="58">
        <f t="shared" si="125"/>
        <v>84</v>
      </c>
      <c r="R1254" s="58">
        <f t="shared" si="126"/>
        <v>83</v>
      </c>
      <c r="S1254" s="57"/>
      <c r="T1254" s="57"/>
      <c r="U1254" s="57"/>
      <c r="V1254" s="57"/>
      <c r="W1254" s="57"/>
      <c r="X1254" s="57"/>
      <c r="Y1254" s="57"/>
      <c r="Z1254" s="57"/>
      <c r="AA1254" s="57"/>
      <c r="AB1254" s="57"/>
      <c r="AC1254" s="57"/>
      <c r="AD1254" s="57"/>
      <c r="AE1254" s="57"/>
      <c r="AF1254" s="57"/>
      <c r="AG1254" s="57"/>
    </row>
    <row r="1255" spans="1:33" ht="20" customHeight="1">
      <c r="A1255" s="57"/>
      <c r="B1255" s="57"/>
      <c r="C1255" s="57"/>
      <c r="D1255" s="57"/>
      <c r="E1255" s="57"/>
      <c r="F1255" s="57"/>
      <c r="G1255" s="57"/>
      <c r="H1255" s="57"/>
      <c r="I1255" s="57"/>
      <c r="J1255" s="57"/>
      <c r="K1255" s="57"/>
      <c r="L1255" s="57"/>
      <c r="M1255" s="57"/>
      <c r="N1255" s="57"/>
      <c r="O1255" s="57"/>
      <c r="P1255" s="57"/>
      <c r="Q1255" s="58">
        <f t="shared" si="125"/>
        <v>85</v>
      </c>
      <c r="R1255" s="58">
        <f t="shared" si="126"/>
        <v>84</v>
      </c>
      <c r="S1255" s="57"/>
      <c r="T1255" s="57"/>
      <c r="U1255" s="57"/>
      <c r="V1255" s="57"/>
      <c r="W1255" s="57"/>
      <c r="X1255" s="57"/>
      <c r="Y1255" s="57"/>
      <c r="Z1255" s="57"/>
      <c r="AA1255" s="57"/>
      <c r="AB1255" s="57"/>
      <c r="AC1255" s="57"/>
      <c r="AD1255" s="57"/>
      <c r="AE1255" s="57"/>
      <c r="AF1255" s="57"/>
      <c r="AG1255" s="57"/>
    </row>
    <row r="1256" spans="1:33" ht="20" customHeight="1">
      <c r="A1256" s="57"/>
      <c r="B1256" s="57"/>
      <c r="C1256" s="57"/>
      <c r="D1256" s="57"/>
      <c r="E1256" s="57"/>
      <c r="F1256" s="57"/>
      <c r="G1256" s="57"/>
      <c r="H1256" s="57"/>
      <c r="I1256" s="57"/>
      <c r="J1256" s="57"/>
      <c r="K1256" s="57"/>
      <c r="L1256" s="57"/>
      <c r="M1256" s="57"/>
      <c r="N1256" s="57"/>
      <c r="O1256" s="57"/>
      <c r="P1256" s="57"/>
      <c r="Q1256" s="58">
        <f t="shared" si="125"/>
        <v>86</v>
      </c>
      <c r="R1256" s="58">
        <f t="shared" si="126"/>
        <v>85</v>
      </c>
      <c r="S1256" s="57"/>
      <c r="T1256" s="57"/>
      <c r="U1256" s="57"/>
      <c r="V1256" s="57"/>
      <c r="W1256" s="57"/>
      <c r="X1256" s="57"/>
      <c r="Y1256" s="57"/>
      <c r="Z1256" s="57"/>
      <c r="AA1256" s="57"/>
      <c r="AB1256" s="57"/>
      <c r="AC1256" s="57"/>
      <c r="AD1256" s="57"/>
      <c r="AE1256" s="57"/>
      <c r="AF1256" s="57"/>
      <c r="AG1256" s="57"/>
    </row>
    <row r="1257" spans="1:33" ht="20" customHeight="1">
      <c r="A1257" s="57"/>
      <c r="B1257" s="57"/>
      <c r="C1257" s="57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57"/>
      <c r="P1257" s="57"/>
      <c r="Q1257" s="58">
        <f t="shared" si="125"/>
        <v>87</v>
      </c>
      <c r="R1257" s="58">
        <f t="shared" si="126"/>
        <v>86</v>
      </c>
      <c r="S1257" s="57"/>
      <c r="T1257" s="57"/>
      <c r="U1257" s="57"/>
      <c r="V1257" s="57"/>
      <c r="W1257" s="57"/>
      <c r="X1257" s="57"/>
      <c r="Y1257" s="57"/>
      <c r="Z1257" s="57"/>
      <c r="AA1257" s="57"/>
      <c r="AB1257" s="57"/>
      <c r="AC1257" s="57"/>
      <c r="AD1257" s="57"/>
      <c r="AE1257" s="57"/>
      <c r="AF1257" s="57"/>
      <c r="AG1257" s="57"/>
    </row>
    <row r="1258" spans="1:33" ht="20" customHeight="1">
      <c r="A1258" s="57"/>
      <c r="B1258" s="57"/>
      <c r="C1258" s="57"/>
      <c r="D1258" s="57"/>
      <c r="E1258" s="57"/>
      <c r="F1258" s="57"/>
      <c r="G1258" s="57"/>
      <c r="H1258" s="57"/>
      <c r="I1258" s="57"/>
      <c r="J1258" s="57"/>
      <c r="K1258" s="57"/>
      <c r="L1258" s="57"/>
      <c r="M1258" s="57"/>
      <c r="N1258" s="57"/>
      <c r="O1258" s="57"/>
      <c r="P1258" s="57"/>
      <c r="Q1258" s="58">
        <f t="shared" si="125"/>
        <v>88</v>
      </c>
      <c r="R1258" s="58">
        <f t="shared" si="126"/>
        <v>87</v>
      </c>
      <c r="S1258" s="57"/>
      <c r="T1258" s="57"/>
      <c r="U1258" s="57"/>
      <c r="V1258" s="57"/>
      <c r="W1258" s="57"/>
      <c r="X1258" s="57"/>
      <c r="Y1258" s="57"/>
      <c r="Z1258" s="57"/>
      <c r="AA1258" s="57"/>
      <c r="AB1258" s="57"/>
      <c r="AC1258" s="57"/>
      <c r="AD1258" s="57"/>
      <c r="AE1258" s="57"/>
      <c r="AF1258" s="57"/>
      <c r="AG1258" s="57"/>
    </row>
    <row r="1259" spans="1:33" ht="20" customHeight="1">
      <c r="A1259" s="57"/>
      <c r="B1259" s="57"/>
      <c r="C1259" s="57"/>
      <c r="D1259" s="57"/>
      <c r="E1259" s="57"/>
      <c r="F1259" s="57"/>
      <c r="G1259" s="57"/>
      <c r="H1259" s="57"/>
      <c r="I1259" s="57"/>
      <c r="J1259" s="57"/>
      <c r="K1259" s="57"/>
      <c r="L1259" s="57"/>
      <c r="M1259" s="57"/>
      <c r="N1259" s="57"/>
      <c r="O1259" s="57"/>
      <c r="P1259" s="57"/>
      <c r="Q1259" s="58">
        <f t="shared" si="125"/>
        <v>89</v>
      </c>
      <c r="R1259" s="58">
        <f t="shared" si="126"/>
        <v>88</v>
      </c>
      <c r="S1259" s="57"/>
      <c r="T1259" s="57"/>
      <c r="U1259" s="57"/>
      <c r="V1259" s="57"/>
      <c r="W1259" s="57"/>
      <c r="X1259" s="57"/>
      <c r="Y1259" s="57"/>
      <c r="Z1259" s="57"/>
      <c r="AA1259" s="57"/>
      <c r="AB1259" s="57"/>
      <c r="AC1259" s="57"/>
      <c r="AD1259" s="57"/>
      <c r="AE1259" s="57"/>
      <c r="AF1259" s="57"/>
      <c r="AG1259" s="57"/>
    </row>
    <row r="1260" spans="1:33" ht="20" customHeight="1">
      <c r="A1260" s="57"/>
      <c r="B1260" s="57"/>
      <c r="C1260" s="57"/>
      <c r="D1260" s="57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57"/>
      <c r="Q1260" s="58">
        <f t="shared" si="125"/>
        <v>90</v>
      </c>
      <c r="R1260" s="58">
        <f t="shared" si="126"/>
        <v>89</v>
      </c>
      <c r="S1260" s="57"/>
      <c r="T1260" s="57"/>
      <c r="U1260" s="57"/>
      <c r="V1260" s="57"/>
      <c r="W1260" s="57"/>
      <c r="X1260" s="57"/>
      <c r="Y1260" s="57"/>
      <c r="Z1260" s="57"/>
      <c r="AA1260" s="57"/>
      <c r="AB1260" s="57"/>
      <c r="AC1260" s="57"/>
      <c r="AD1260" s="57"/>
      <c r="AE1260" s="57"/>
      <c r="AF1260" s="57"/>
      <c r="AG1260" s="57"/>
    </row>
    <row r="1261" spans="1:33" ht="20" customHeight="1">
      <c r="A1261" s="57"/>
      <c r="B1261" s="57"/>
      <c r="C1261" s="57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57"/>
      <c r="P1261" s="57"/>
      <c r="Q1261" s="58">
        <f t="shared" si="125"/>
        <v>91</v>
      </c>
      <c r="R1261" s="58">
        <f t="shared" si="126"/>
        <v>90</v>
      </c>
      <c r="S1261" s="57"/>
      <c r="T1261" s="57"/>
      <c r="U1261" s="57"/>
      <c r="V1261" s="57"/>
      <c r="W1261" s="57"/>
      <c r="X1261" s="57"/>
      <c r="Y1261" s="57"/>
      <c r="Z1261" s="57"/>
      <c r="AA1261" s="57"/>
      <c r="AB1261" s="57"/>
      <c r="AC1261" s="57"/>
      <c r="AD1261" s="57"/>
      <c r="AE1261" s="57"/>
      <c r="AF1261" s="57"/>
      <c r="AG1261" s="57"/>
    </row>
    <row r="1262" spans="1:33" ht="20" customHeight="1">
      <c r="A1262" s="57"/>
      <c r="B1262" s="57"/>
      <c r="C1262" s="57"/>
      <c r="D1262" s="57"/>
      <c r="E1262" s="57"/>
      <c r="F1262" s="57"/>
      <c r="G1262" s="57"/>
      <c r="H1262" s="57"/>
      <c r="I1262" s="57"/>
      <c r="J1262" s="57"/>
      <c r="K1262" s="57"/>
      <c r="L1262" s="57"/>
      <c r="M1262" s="57"/>
      <c r="N1262" s="57"/>
      <c r="O1262" s="57"/>
      <c r="P1262" s="57"/>
      <c r="Q1262" s="58">
        <f t="shared" si="125"/>
        <v>92</v>
      </c>
      <c r="R1262" s="58">
        <f t="shared" si="126"/>
        <v>91</v>
      </c>
      <c r="S1262" s="57"/>
      <c r="T1262" s="57"/>
      <c r="U1262" s="57"/>
      <c r="V1262" s="57"/>
      <c r="W1262" s="57"/>
      <c r="X1262" s="57"/>
      <c r="Y1262" s="57"/>
      <c r="Z1262" s="57"/>
      <c r="AA1262" s="57"/>
      <c r="AB1262" s="57"/>
      <c r="AC1262" s="57"/>
      <c r="AD1262" s="57"/>
      <c r="AE1262" s="57"/>
      <c r="AF1262" s="57"/>
      <c r="AG1262" s="57"/>
    </row>
    <row r="1263" spans="1:33" ht="20" customHeight="1">
      <c r="A1263" s="57"/>
      <c r="B1263" s="57"/>
      <c r="C1263" s="57"/>
      <c r="D1263" s="57"/>
      <c r="E1263" s="57"/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  <c r="P1263" s="57"/>
      <c r="Q1263" s="58">
        <f t="shared" si="125"/>
        <v>93</v>
      </c>
      <c r="R1263" s="58">
        <f t="shared" si="126"/>
        <v>92</v>
      </c>
      <c r="S1263" s="57"/>
      <c r="T1263" s="57"/>
      <c r="U1263" s="57"/>
      <c r="V1263" s="57"/>
      <c r="W1263" s="57"/>
      <c r="X1263" s="57"/>
      <c r="Y1263" s="57"/>
      <c r="Z1263" s="57"/>
      <c r="AA1263" s="57"/>
      <c r="AB1263" s="57"/>
      <c r="AC1263" s="57"/>
      <c r="AD1263" s="57"/>
      <c r="AE1263" s="57"/>
      <c r="AF1263" s="57"/>
      <c r="AG1263" s="57"/>
    </row>
    <row r="1264" spans="1:33" ht="20" customHeight="1">
      <c r="A1264" s="57"/>
      <c r="B1264" s="57"/>
      <c r="C1264" s="57"/>
      <c r="D1264" s="57"/>
      <c r="E1264" s="57"/>
      <c r="F1264" s="57"/>
      <c r="G1264" s="57"/>
      <c r="H1264" s="57"/>
      <c r="I1264" s="57"/>
      <c r="J1264" s="57"/>
      <c r="K1264" s="57"/>
      <c r="L1264" s="57"/>
      <c r="M1264" s="57"/>
      <c r="N1264" s="57"/>
      <c r="O1264" s="57"/>
      <c r="P1264" s="57"/>
      <c r="Q1264" s="58">
        <f t="shared" si="125"/>
        <v>94</v>
      </c>
      <c r="R1264" s="58">
        <f t="shared" si="126"/>
        <v>93</v>
      </c>
      <c r="S1264" s="57"/>
      <c r="T1264" s="57"/>
      <c r="U1264" s="57"/>
      <c r="V1264" s="57"/>
      <c r="W1264" s="57"/>
      <c r="X1264" s="57"/>
      <c r="Y1264" s="57"/>
      <c r="Z1264" s="57"/>
      <c r="AA1264" s="57"/>
      <c r="AB1264" s="57"/>
      <c r="AC1264" s="57"/>
      <c r="AD1264" s="57"/>
      <c r="AE1264" s="57"/>
      <c r="AF1264" s="57"/>
      <c r="AG1264" s="57"/>
    </row>
    <row r="1265" spans="1:33" ht="20" customHeight="1">
      <c r="A1265" s="57"/>
      <c r="B1265" s="57"/>
      <c r="C1265" s="57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57"/>
      <c r="P1265" s="57"/>
      <c r="Q1265" s="58">
        <f t="shared" si="125"/>
        <v>95</v>
      </c>
      <c r="R1265" s="58">
        <f t="shared" si="126"/>
        <v>94</v>
      </c>
      <c r="S1265" s="57"/>
      <c r="T1265" s="57"/>
      <c r="U1265" s="57"/>
      <c r="V1265" s="57"/>
      <c r="W1265" s="57"/>
      <c r="X1265" s="57"/>
      <c r="Y1265" s="57"/>
      <c r="Z1265" s="57"/>
      <c r="AA1265" s="57"/>
      <c r="AB1265" s="57"/>
      <c r="AC1265" s="57"/>
      <c r="AD1265" s="57"/>
      <c r="AE1265" s="57"/>
      <c r="AF1265" s="57"/>
      <c r="AG1265" s="57"/>
    </row>
    <row r="1266" spans="1:33" ht="20" customHeight="1">
      <c r="A1266" s="57"/>
      <c r="B1266" s="57"/>
      <c r="C1266" s="57"/>
      <c r="D1266" s="57"/>
      <c r="E1266" s="57"/>
      <c r="F1266" s="57"/>
      <c r="G1266" s="57"/>
      <c r="H1266" s="57"/>
      <c r="I1266" s="57"/>
      <c r="J1266" s="57"/>
      <c r="K1266" s="57"/>
      <c r="L1266" s="57"/>
      <c r="M1266" s="57"/>
      <c r="N1266" s="57"/>
      <c r="O1266" s="57"/>
      <c r="P1266" s="57"/>
      <c r="Q1266" s="58">
        <f t="shared" si="125"/>
        <v>96</v>
      </c>
      <c r="R1266" s="58">
        <f t="shared" si="126"/>
        <v>95</v>
      </c>
      <c r="S1266" s="57"/>
      <c r="T1266" s="57"/>
      <c r="U1266" s="57"/>
      <c r="V1266" s="57"/>
      <c r="W1266" s="57"/>
      <c r="X1266" s="57"/>
      <c r="Y1266" s="57"/>
      <c r="Z1266" s="57"/>
      <c r="AA1266" s="57"/>
      <c r="AB1266" s="57"/>
      <c r="AC1266" s="57"/>
      <c r="AD1266" s="57"/>
      <c r="AE1266" s="57"/>
      <c r="AF1266" s="57"/>
      <c r="AG1266" s="57"/>
    </row>
    <row r="1267" spans="1:33" ht="20" customHeight="1">
      <c r="A1267" s="57"/>
      <c r="B1267" s="57"/>
      <c r="C1267" s="57"/>
      <c r="D1267" s="57"/>
      <c r="E1267" s="57"/>
      <c r="F1267" s="57"/>
      <c r="G1267" s="57"/>
      <c r="H1267" s="57"/>
      <c r="I1267" s="57"/>
      <c r="J1267" s="57"/>
      <c r="K1267" s="57"/>
      <c r="L1267" s="57"/>
      <c r="M1267" s="57"/>
      <c r="N1267" s="57"/>
      <c r="O1267" s="57"/>
      <c r="P1267" s="57"/>
      <c r="Q1267" s="58">
        <f t="shared" si="125"/>
        <v>97</v>
      </c>
      <c r="R1267" s="58">
        <f t="shared" si="126"/>
        <v>96</v>
      </c>
      <c r="S1267" s="57"/>
      <c r="T1267" s="57"/>
      <c r="U1267" s="57"/>
      <c r="V1267" s="57"/>
      <c r="W1267" s="57"/>
      <c r="X1267" s="57"/>
      <c r="Y1267" s="57"/>
      <c r="Z1267" s="57"/>
      <c r="AA1267" s="57"/>
      <c r="AB1267" s="57"/>
      <c r="AC1267" s="57"/>
      <c r="AD1267" s="57"/>
      <c r="AE1267" s="57"/>
      <c r="AF1267" s="57"/>
      <c r="AG1267" s="57"/>
    </row>
    <row r="1268" spans="1:33" ht="20" customHeight="1">
      <c r="A1268" s="57"/>
      <c r="B1268" s="57"/>
      <c r="C1268" s="57"/>
      <c r="D1268" s="57"/>
      <c r="E1268" s="57"/>
      <c r="F1268" s="57"/>
      <c r="G1268" s="57"/>
      <c r="H1268" s="57"/>
      <c r="I1268" s="57"/>
      <c r="J1268" s="57"/>
      <c r="K1268" s="57"/>
      <c r="L1268" s="57"/>
      <c r="M1268" s="57"/>
      <c r="N1268" s="57"/>
      <c r="O1268" s="57"/>
      <c r="P1268" s="57"/>
      <c r="Q1268" s="58">
        <f t="shared" si="125"/>
        <v>98</v>
      </c>
      <c r="R1268" s="58">
        <f t="shared" si="126"/>
        <v>97</v>
      </c>
      <c r="S1268" s="57"/>
      <c r="T1268" s="57"/>
      <c r="U1268" s="57"/>
      <c r="V1268" s="57"/>
      <c r="W1268" s="57"/>
      <c r="X1268" s="57"/>
      <c r="Y1268" s="57"/>
      <c r="Z1268" s="57"/>
      <c r="AA1268" s="57"/>
      <c r="AB1268" s="57"/>
      <c r="AC1268" s="57"/>
      <c r="AD1268" s="57"/>
      <c r="AE1268" s="57"/>
      <c r="AF1268" s="57"/>
      <c r="AG1268" s="57"/>
    </row>
    <row r="1269" spans="1:33" ht="20" customHeight="1">
      <c r="A1269" s="57"/>
      <c r="B1269" s="57"/>
      <c r="C1269" s="57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57"/>
      <c r="P1269" s="57"/>
      <c r="Q1269" s="58">
        <f t="shared" si="125"/>
        <v>99</v>
      </c>
      <c r="R1269" s="58">
        <f t="shared" si="126"/>
        <v>98</v>
      </c>
      <c r="S1269" s="57"/>
      <c r="T1269" s="57"/>
      <c r="U1269" s="57"/>
      <c r="V1269" s="57"/>
      <c r="W1269" s="57"/>
      <c r="X1269" s="57"/>
      <c r="Y1269" s="57"/>
      <c r="Z1269" s="57"/>
      <c r="AA1269" s="57"/>
      <c r="AB1269" s="57"/>
      <c r="AC1269" s="57"/>
      <c r="AD1269" s="57"/>
      <c r="AE1269" s="57"/>
      <c r="AF1269" s="57"/>
      <c r="AG1269" s="57"/>
    </row>
    <row r="1270" spans="1:33" ht="20" customHeight="1">
      <c r="A1270" s="57"/>
      <c r="B1270" s="57"/>
      <c r="C1270" s="57"/>
      <c r="D1270" s="57"/>
      <c r="E1270" s="57"/>
      <c r="F1270" s="57"/>
      <c r="G1270" s="57"/>
      <c r="H1270" s="57"/>
      <c r="I1270" s="57"/>
      <c r="J1270" s="57"/>
      <c r="K1270" s="57"/>
      <c r="L1270" s="57"/>
      <c r="M1270" s="57"/>
      <c r="N1270" s="57"/>
      <c r="O1270" s="57"/>
      <c r="P1270" s="57"/>
      <c r="Q1270" s="58">
        <f t="shared" si="125"/>
        <v>100</v>
      </c>
      <c r="R1270" s="58">
        <f t="shared" si="126"/>
        <v>99</v>
      </c>
      <c r="S1270" s="57"/>
      <c r="T1270" s="57"/>
      <c r="U1270" s="57"/>
      <c r="V1270" s="57"/>
      <c r="W1270" s="57"/>
      <c r="X1270" s="57"/>
      <c r="Y1270" s="57"/>
      <c r="Z1270" s="57"/>
      <c r="AA1270" s="57"/>
      <c r="AB1270" s="57"/>
      <c r="AC1270" s="57"/>
      <c r="AD1270" s="57"/>
      <c r="AE1270" s="57"/>
      <c r="AF1270" s="57"/>
      <c r="AG1270" s="57"/>
    </row>
    <row r="1271" spans="1:33" ht="20" customHeight="1">
      <c r="Q1271" s="58">
        <f t="shared" si="125"/>
        <v>101</v>
      </c>
      <c r="R1271" s="58">
        <f t="shared" si="126"/>
        <v>100</v>
      </c>
    </row>
  </sheetData>
  <autoFilter ref="A20:V197" xr:uid="{473C4C1B-4A49-4117-949D-F2D67743CE04}"/>
  <mergeCells count="46">
    <mergeCell ref="A1072:E1072"/>
    <mergeCell ref="C322:F322"/>
    <mergeCell ref="X109:Y109"/>
    <mergeCell ref="D201:G201"/>
    <mergeCell ref="D260:G260"/>
    <mergeCell ref="A551:E551"/>
    <mergeCell ref="C380:F380"/>
    <mergeCell ref="U430:Z430"/>
    <mergeCell ref="E452:H452"/>
    <mergeCell ref="E550:H550"/>
    <mergeCell ref="A581:E581"/>
    <mergeCell ref="A601:E601"/>
    <mergeCell ref="A874:E874"/>
    <mergeCell ref="A900:E900"/>
    <mergeCell ref="A932:E932"/>
    <mergeCell ref="A961:E961"/>
    <mergeCell ref="AI27:AJ27"/>
    <mergeCell ref="G614:K614"/>
    <mergeCell ref="AA27:AB27"/>
    <mergeCell ref="AE27:AF27"/>
    <mergeCell ref="A706:E706"/>
    <mergeCell ref="A737:E737"/>
    <mergeCell ref="A765:E765"/>
    <mergeCell ref="A830:E830"/>
    <mergeCell ref="A849:E849"/>
    <mergeCell ref="A1080:E1080"/>
    <mergeCell ref="A1088:E1088"/>
    <mergeCell ref="D1119:G1119"/>
    <mergeCell ref="D1169:G1169"/>
    <mergeCell ref="G584:K584"/>
    <mergeCell ref="A1047:E1047"/>
    <mergeCell ref="A995:E995"/>
    <mergeCell ref="A1012:E1012"/>
    <mergeCell ref="A1029:E1029"/>
    <mergeCell ref="A1105:E1105"/>
    <mergeCell ref="A1096:E1096"/>
    <mergeCell ref="A625:E625"/>
    <mergeCell ref="A978:E978"/>
    <mergeCell ref="A804:E804"/>
    <mergeCell ref="A652:E652"/>
    <mergeCell ref="A677:E677"/>
    <mergeCell ref="AB432:AD432"/>
    <mergeCell ref="Y432:AA432"/>
    <mergeCell ref="V432:X432"/>
    <mergeCell ref="S432:U432"/>
    <mergeCell ref="D432:H432"/>
  </mergeCells>
  <conditionalFormatting sqref="D22:D112">
    <cfRule type="cellIs" dxfId="9" priority="1" operator="equal">
      <formula>0</formula>
    </cfRule>
  </conditionalFormatting>
  <dataValidations count="5">
    <dataValidation type="list" allowBlank="1" showInputMessage="1" showErrorMessage="1" sqref="B1098:B1099 H599:H600 B1060:B1066 B1049:B1058 B852:B862 B833:B838 B628:B637 B554:B563 H587:H597 B584:B594 B604:B618 B565:B574 B655:B670 B680:B690 B693:B699 B709:B722 B724:B729 B740:B746 B749:B757 B768:B786 B789:B797 B807:B823 B639:B645 B840:B842 B877:B893 B903:B925 B935:B953 B963:B971 B980:B988 B997:B1005 B1014:B1022 B1031:B1040 B864:B867 B1074 B1082 B1090 B1107 H648:H654 H637:H646 H617:H632" xr:uid="{AEF62CFF-1FF5-415A-A73A-5030018ADBC1}">
      <formula1>$B$454:$B$541</formula1>
    </dataValidation>
    <dataValidation type="list" allowBlank="1" showInputMessage="1" showErrorMessage="1" sqref="K558" xr:uid="{22B777B2-9967-4B02-B9BA-E045027E5CC5}">
      <formula1>$AA$1171:$AA$1172</formula1>
    </dataValidation>
    <dataValidation type="list" allowBlank="1" showInputMessage="1" showErrorMessage="1" sqref="K552" xr:uid="{C362E412-713D-964F-9F3B-047FBB752576}">
      <formula1>$R$1171:$R$1271</formula1>
    </dataValidation>
    <dataValidation type="list" allowBlank="1" showInputMessage="1" showErrorMessage="1" sqref="AI28" xr:uid="{E03DAEBF-81EE-4948-AB9A-5C799857AD78}">
      <formula1>$H$1171:$H$1180</formula1>
    </dataValidation>
    <dataValidation type="list" showInputMessage="1" showErrorMessage="1" sqref="C22:C110" xr:uid="{E596936C-816C-4847-B946-DAD91A5D4F51}">
      <formula1>$B$1171:$B$1186</formula1>
    </dataValidation>
  </dataValidations>
  <hyperlinks>
    <hyperlink ref="B3" location="Labour_Cost" display="Labour_Cost" xr:uid="{E8B8F65B-F606-4DA6-B52F-F4BC0C8E7B11}"/>
    <hyperlink ref="B4" location="Labour_Cost_Working" display="Labour_Cost_Working" xr:uid="{9ADE5760-6415-4ECF-B939-7E6405A558BD}"/>
    <hyperlink ref="B5" location="Packaging_Cost" display="Packaging_Cost" xr:uid="{0FA5CDC3-018B-4632-B553-05A948F3AC9E}"/>
    <hyperlink ref="B6" location="Maruthi_Plastics_Packing_Material_Cost" display="Maruthi_Plastics_Packing_Material_Cost" xr:uid="{C251E99E-6182-4505-833A-18156F0A6ABF}"/>
    <hyperlink ref="B7" location="Swiss_Pac_Packing_Material_Cost" display="Swiss_Pac_Packing_Material_Cost" xr:uid="{648770AC-5ABA-489E-808A-7B2AA0B1EABA}"/>
    <hyperlink ref="B2" location="Raw_Material_Cost" display="Raw_Material_Cost" xr:uid="{5ECB4A1D-A311-4D5F-8983-AE4BDA5AEF27}"/>
    <hyperlink ref="B8" location="No._Of_Units_Of_PM_Required_for_Selected_Retail_Packs" display="PM Required" xr:uid="{358C8DA8-91F5-4588-A088-E2D7C4726FE4}"/>
    <hyperlink ref="B9" location="Vendor_Transport_Costs" display="Vendor Transport Costs" xr:uid="{852ABBA0-300A-448D-9EBF-E361F6B795D9}"/>
    <hyperlink ref="B11" location="Raw_Material_source_costs" display="Raw Materials Source Costs" xr:uid="{80ECF504-707F-4D9C-B66B-1AFB225AB7D0}"/>
    <hyperlink ref="B12" location="'Master Data'!E530" display="Masala &amp; Blends Costing" xr:uid="{306216A2-7A52-449C-B357-0557FBE5AC3A}"/>
    <hyperlink ref="B10" location="'Master Data'!U411" display="Vendor Transport Cost Calculation" xr:uid="{BAF8AF6D-07E3-4C06-B38B-491FBED96CAE}"/>
    <hyperlink ref="B13" location="'Master Data'!D1098" display="PM Specifications" xr:uid="{80232530-CEC7-1C46-A03B-7F5272F10C05}"/>
    <hyperlink ref="B14" location="'Master Data'!D1148" display="Drop Down Validation Master" xr:uid="{A5A56444-4F16-A541-9364-EDFB63A3ACE3}"/>
  </hyperlinks>
  <pageMargins left="0.7" right="0.7" top="0.75" bottom="0.75" header="0.3" footer="0.3"/>
  <pageSetup orientation="portrait" r:id="rId1"/>
  <ignoredErrors>
    <ignoredError sqref="V111:W11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AD4C-87C6-2943-8E9D-B7BEDADAA061}">
  <dimension ref="A1:AD89"/>
  <sheetViews>
    <sheetView zoomScale="150" workbookViewId="0">
      <pane xSplit="2" ySplit="1" topLeftCell="Q25" activePane="bottomRight" state="frozen"/>
      <selection pane="topRight" activeCell="C1" sqref="C1"/>
      <selection pane="bottomLeft" activeCell="A2" sqref="A2"/>
      <selection pane="bottomRight" activeCell="G33" sqref="G33"/>
    </sheetView>
  </sheetViews>
  <sheetFormatPr baseColWidth="10" defaultRowHeight="14"/>
  <cols>
    <col min="2" max="2" width="24.83203125" customWidth="1"/>
    <col min="3" max="4" width="17.6640625" customWidth="1"/>
    <col min="5" max="6" width="13.6640625" customWidth="1"/>
    <col min="7" max="8" width="15.33203125" customWidth="1"/>
    <col min="9" max="10" width="12" customWidth="1"/>
    <col min="11" max="12" width="19.5" customWidth="1"/>
    <col min="15" max="15" width="19" customWidth="1"/>
    <col min="16" max="16" width="15.33203125" customWidth="1"/>
    <col min="21" max="21" width="12.1640625" bestFit="1" customWidth="1"/>
    <col min="22" max="22" width="12.1640625" customWidth="1"/>
    <col min="23" max="23" width="25" bestFit="1" customWidth="1"/>
    <col min="24" max="24" width="25" customWidth="1"/>
    <col min="25" max="25" width="9.1640625" bestFit="1" customWidth="1"/>
    <col min="26" max="26" width="9.1640625" customWidth="1"/>
    <col min="27" max="27" width="9.1640625" bestFit="1" customWidth="1"/>
    <col min="28" max="28" width="9.1640625" customWidth="1"/>
    <col min="29" max="29" width="24.5" bestFit="1" customWidth="1"/>
  </cols>
  <sheetData>
    <row r="1" spans="1:30" ht="15">
      <c r="A1" s="199" t="s">
        <v>145</v>
      </c>
      <c r="B1" s="200" t="s">
        <v>77</v>
      </c>
      <c r="C1" s="209" t="s">
        <v>78</v>
      </c>
      <c r="D1" s="209"/>
      <c r="E1" s="209" t="s">
        <v>116</v>
      </c>
      <c r="F1" s="209" t="s">
        <v>547</v>
      </c>
      <c r="G1" s="209" t="s">
        <v>364</v>
      </c>
      <c r="H1" s="209" t="s">
        <v>547</v>
      </c>
      <c r="I1" s="209" t="s">
        <v>366</v>
      </c>
      <c r="J1" s="209" t="s">
        <v>547</v>
      </c>
      <c r="K1" s="209" t="s">
        <v>83</v>
      </c>
      <c r="L1" s="209"/>
      <c r="M1" s="209" t="s">
        <v>84</v>
      </c>
      <c r="N1" s="209"/>
      <c r="O1" s="208" t="s">
        <v>85</v>
      </c>
      <c r="P1" s="209"/>
      <c r="Q1" s="208" t="s">
        <v>93</v>
      </c>
      <c r="R1" s="208"/>
      <c r="S1" s="209" t="s">
        <v>100</v>
      </c>
      <c r="T1" s="209"/>
      <c r="U1" s="209" t="s">
        <v>546</v>
      </c>
      <c r="V1" s="209"/>
      <c r="W1" s="209" t="s">
        <v>146</v>
      </c>
      <c r="X1" s="209"/>
      <c r="Y1" s="209" t="s">
        <v>79</v>
      </c>
      <c r="Z1" s="209" t="s">
        <v>547</v>
      </c>
      <c r="AA1" s="209" t="s">
        <v>370</v>
      </c>
      <c r="AB1" s="327" t="s">
        <v>547</v>
      </c>
      <c r="AC1" s="210" t="s">
        <v>404</v>
      </c>
      <c r="AD1" s="327" t="s">
        <v>547</v>
      </c>
    </row>
    <row r="2" spans="1:30" ht="15">
      <c r="A2" s="161">
        <v>1</v>
      </c>
      <c r="B2" s="87" t="s">
        <v>113</v>
      </c>
      <c r="C2" t="s">
        <v>360</v>
      </c>
      <c r="I2" t="s">
        <v>360</v>
      </c>
      <c r="AC2" t="s">
        <v>360</v>
      </c>
    </row>
    <row r="3" spans="1:30" ht="15">
      <c r="A3" s="161">
        <f>+A2+1</f>
        <v>2</v>
      </c>
      <c r="B3" s="88" t="s">
        <v>19</v>
      </c>
      <c r="C3" t="s">
        <v>360</v>
      </c>
    </row>
    <row r="4" spans="1:30" ht="15">
      <c r="A4" s="161">
        <f t="shared" ref="A4:A67" si="0">+A3+1</f>
        <v>3</v>
      </c>
      <c r="B4" s="88" t="s">
        <v>114</v>
      </c>
      <c r="AC4" t="s">
        <v>360</v>
      </c>
    </row>
    <row r="5" spans="1:30" ht="15">
      <c r="A5" s="161">
        <f t="shared" si="0"/>
        <v>4</v>
      </c>
      <c r="B5" s="87" t="s">
        <v>59</v>
      </c>
      <c r="C5" t="s">
        <v>360</v>
      </c>
      <c r="AC5" t="s">
        <v>360</v>
      </c>
    </row>
    <row r="6" spans="1:30" ht="15">
      <c r="A6" s="161">
        <f t="shared" si="0"/>
        <v>5</v>
      </c>
      <c r="B6" s="88" t="s">
        <v>158</v>
      </c>
      <c r="E6" t="s">
        <v>360</v>
      </c>
      <c r="F6">
        <v>135</v>
      </c>
      <c r="I6" t="s">
        <v>360</v>
      </c>
      <c r="Y6" t="s">
        <v>360</v>
      </c>
    </row>
    <row r="7" spans="1:30" ht="15">
      <c r="A7" s="161">
        <f t="shared" si="0"/>
        <v>6</v>
      </c>
      <c r="B7" s="88" t="s">
        <v>43</v>
      </c>
      <c r="C7" t="s">
        <v>360</v>
      </c>
    </row>
    <row r="8" spans="1:30" ht="15">
      <c r="A8" s="161">
        <f t="shared" si="0"/>
        <v>7</v>
      </c>
      <c r="B8" s="88" t="s">
        <v>80</v>
      </c>
      <c r="C8" t="s">
        <v>360</v>
      </c>
    </row>
    <row r="9" spans="1:30" ht="15">
      <c r="A9" s="161">
        <f t="shared" si="0"/>
        <v>8</v>
      </c>
      <c r="B9" s="88" t="s">
        <v>15</v>
      </c>
      <c r="I9" t="s">
        <v>360</v>
      </c>
    </row>
    <row r="10" spans="1:30" ht="15">
      <c r="A10" s="161">
        <f t="shared" si="0"/>
        <v>9</v>
      </c>
      <c r="B10" s="88" t="s">
        <v>542</v>
      </c>
      <c r="I10" t="s">
        <v>360</v>
      </c>
    </row>
    <row r="11" spans="1:30" ht="15">
      <c r="A11" s="161">
        <f t="shared" si="0"/>
        <v>10</v>
      </c>
      <c r="B11" s="88" t="s">
        <v>66</v>
      </c>
      <c r="C11" t="s">
        <v>360</v>
      </c>
    </row>
    <row r="12" spans="1:30" ht="15">
      <c r="A12" s="161">
        <f t="shared" si="0"/>
        <v>11</v>
      </c>
      <c r="B12" s="88" t="s">
        <v>0</v>
      </c>
      <c r="G12" t="s">
        <v>360</v>
      </c>
      <c r="I12" t="s">
        <v>360</v>
      </c>
      <c r="K12" t="s">
        <v>360</v>
      </c>
    </row>
    <row r="13" spans="1:30" ht="15">
      <c r="A13" s="161">
        <f t="shared" si="0"/>
        <v>12</v>
      </c>
      <c r="B13" s="88" t="s">
        <v>81</v>
      </c>
      <c r="C13" t="s">
        <v>360</v>
      </c>
      <c r="AC13" t="s">
        <v>360</v>
      </c>
    </row>
    <row r="14" spans="1:30" ht="15">
      <c r="A14" s="161">
        <f t="shared" si="0"/>
        <v>13</v>
      </c>
      <c r="B14" s="88" t="s">
        <v>70</v>
      </c>
      <c r="C14" t="s">
        <v>360</v>
      </c>
    </row>
    <row r="15" spans="1:30" ht="30">
      <c r="A15" s="161">
        <f t="shared" si="0"/>
        <v>14</v>
      </c>
      <c r="B15" s="89" t="s">
        <v>122</v>
      </c>
      <c r="C15" t="s">
        <v>360</v>
      </c>
      <c r="AC15" t="s">
        <v>360</v>
      </c>
    </row>
    <row r="16" spans="1:30" ht="15">
      <c r="A16" s="161">
        <f t="shared" si="0"/>
        <v>15</v>
      </c>
      <c r="B16" s="88" t="s">
        <v>288</v>
      </c>
      <c r="C16" t="s">
        <v>360</v>
      </c>
    </row>
    <row r="17" spans="1:29" ht="15">
      <c r="A17" s="161">
        <f t="shared" si="0"/>
        <v>16</v>
      </c>
      <c r="B17" s="88" t="s">
        <v>82</v>
      </c>
      <c r="C17" t="s">
        <v>360</v>
      </c>
    </row>
    <row r="18" spans="1:29" ht="30">
      <c r="A18" s="161">
        <f t="shared" si="0"/>
        <v>17</v>
      </c>
      <c r="B18" s="237" t="s">
        <v>543</v>
      </c>
      <c r="I18" t="s">
        <v>360</v>
      </c>
    </row>
    <row r="19" spans="1:29" ht="15">
      <c r="A19" s="161">
        <f t="shared" si="0"/>
        <v>18</v>
      </c>
      <c r="B19" s="237" t="s">
        <v>308</v>
      </c>
      <c r="I19" t="s">
        <v>360</v>
      </c>
    </row>
    <row r="20" spans="1:29" ht="15">
      <c r="A20" s="161">
        <f t="shared" si="0"/>
        <v>19</v>
      </c>
      <c r="B20" s="237" t="s">
        <v>34</v>
      </c>
      <c r="AC20" t="s">
        <v>360</v>
      </c>
    </row>
    <row r="21" spans="1:29" ht="15">
      <c r="A21" s="161">
        <f t="shared" si="0"/>
        <v>20</v>
      </c>
      <c r="B21" s="88" t="s">
        <v>1</v>
      </c>
      <c r="G21" t="s">
        <v>360</v>
      </c>
      <c r="I21" t="s">
        <v>360</v>
      </c>
      <c r="K21" t="s">
        <v>360</v>
      </c>
    </row>
    <row r="22" spans="1:29" ht="15">
      <c r="A22" s="161">
        <f t="shared" si="0"/>
        <v>21</v>
      </c>
      <c r="B22" s="88" t="s">
        <v>2</v>
      </c>
      <c r="C22" t="s">
        <v>360</v>
      </c>
    </row>
    <row r="23" spans="1:29" ht="15">
      <c r="A23" s="161">
        <f t="shared" si="0"/>
        <v>22</v>
      </c>
      <c r="B23" s="88" t="s">
        <v>3</v>
      </c>
      <c r="C23" t="s">
        <v>360</v>
      </c>
    </row>
    <row r="24" spans="1:29" ht="15">
      <c r="A24" s="161">
        <f t="shared" si="0"/>
        <v>23</v>
      </c>
      <c r="B24" s="88" t="s">
        <v>52</v>
      </c>
      <c r="C24" t="s">
        <v>360</v>
      </c>
    </row>
    <row r="25" spans="1:29" ht="15">
      <c r="A25" s="161">
        <f t="shared" si="0"/>
        <v>24</v>
      </c>
      <c r="B25" s="89" t="s">
        <v>120</v>
      </c>
      <c r="AC25" t="s">
        <v>360</v>
      </c>
    </row>
    <row r="26" spans="1:29" ht="15">
      <c r="A26" s="161">
        <f t="shared" si="0"/>
        <v>25</v>
      </c>
      <c r="B26" s="88" t="s">
        <v>39</v>
      </c>
      <c r="O26" t="s">
        <v>360</v>
      </c>
    </row>
    <row r="27" spans="1:29" ht="30">
      <c r="A27" s="161">
        <f t="shared" si="0"/>
        <v>26</v>
      </c>
      <c r="B27" s="88" t="s">
        <v>86</v>
      </c>
      <c r="C27" t="s">
        <v>360</v>
      </c>
    </row>
    <row r="28" spans="1:29" ht="15">
      <c r="A28" s="161">
        <f t="shared" si="0"/>
        <v>27</v>
      </c>
      <c r="B28" s="88" t="s">
        <v>46</v>
      </c>
      <c r="C28" t="s">
        <v>360</v>
      </c>
    </row>
    <row r="29" spans="1:29" ht="15">
      <c r="A29" s="161">
        <f t="shared" si="0"/>
        <v>28</v>
      </c>
      <c r="B29" s="88" t="s">
        <v>68</v>
      </c>
      <c r="C29" t="s">
        <v>360</v>
      </c>
      <c r="AC29" t="s">
        <v>360</v>
      </c>
    </row>
    <row r="30" spans="1:29" ht="15">
      <c r="A30" s="161">
        <f t="shared" si="0"/>
        <v>29</v>
      </c>
      <c r="B30" s="88" t="s">
        <v>87</v>
      </c>
      <c r="C30" t="s">
        <v>360</v>
      </c>
    </row>
    <row r="31" spans="1:29" ht="15">
      <c r="A31" s="161">
        <f t="shared" si="0"/>
        <v>30</v>
      </c>
      <c r="B31" s="88" t="s">
        <v>435</v>
      </c>
      <c r="C31" t="s">
        <v>360</v>
      </c>
    </row>
    <row r="32" spans="1:29" ht="15">
      <c r="A32" s="161">
        <f t="shared" si="0"/>
        <v>31</v>
      </c>
      <c r="B32" s="88" t="s">
        <v>40</v>
      </c>
      <c r="C32" t="s">
        <v>360</v>
      </c>
    </row>
    <row r="33" spans="1:29" ht="15">
      <c r="A33" s="161">
        <f t="shared" si="0"/>
        <v>32</v>
      </c>
      <c r="B33" s="88" t="s">
        <v>35</v>
      </c>
      <c r="G33" t="s">
        <v>360</v>
      </c>
      <c r="K33" t="s">
        <v>360</v>
      </c>
    </row>
    <row r="34" spans="1:29" ht="15">
      <c r="A34" s="161">
        <f t="shared" si="0"/>
        <v>33</v>
      </c>
      <c r="B34" s="88" t="s">
        <v>544</v>
      </c>
      <c r="G34" t="s">
        <v>360</v>
      </c>
      <c r="K34" t="s">
        <v>360</v>
      </c>
    </row>
    <row r="35" spans="1:29" ht="15">
      <c r="A35" s="161">
        <f t="shared" si="0"/>
        <v>34</v>
      </c>
      <c r="B35" s="88" t="s">
        <v>67</v>
      </c>
      <c r="C35" t="s">
        <v>360</v>
      </c>
    </row>
    <row r="36" spans="1:29" ht="15">
      <c r="A36" s="161">
        <f t="shared" si="0"/>
        <v>35</v>
      </c>
      <c r="B36" s="88" t="s">
        <v>88</v>
      </c>
      <c r="C36" t="s">
        <v>360</v>
      </c>
      <c r="AC36" t="s">
        <v>360</v>
      </c>
    </row>
    <row r="37" spans="1:29" ht="15">
      <c r="A37" s="161">
        <f t="shared" si="0"/>
        <v>36</v>
      </c>
      <c r="B37" s="88" t="s">
        <v>545</v>
      </c>
      <c r="AC37" t="s">
        <v>360</v>
      </c>
    </row>
    <row r="38" spans="1:29" ht="15">
      <c r="A38" s="161">
        <f t="shared" si="0"/>
        <v>37</v>
      </c>
      <c r="B38" s="87" t="s">
        <v>65</v>
      </c>
      <c r="C38" t="s">
        <v>360</v>
      </c>
    </row>
    <row r="39" spans="1:29" ht="15">
      <c r="A39" s="161">
        <f t="shared" si="0"/>
        <v>38</v>
      </c>
      <c r="B39" s="87" t="s">
        <v>89</v>
      </c>
      <c r="C39" t="s">
        <v>360</v>
      </c>
      <c r="AC39" t="s">
        <v>360</v>
      </c>
    </row>
    <row r="40" spans="1:29" ht="15">
      <c r="A40" s="161">
        <f t="shared" si="0"/>
        <v>39</v>
      </c>
      <c r="B40" s="88" t="s">
        <v>270</v>
      </c>
      <c r="C40" t="s">
        <v>360</v>
      </c>
      <c r="M40" t="s">
        <v>360</v>
      </c>
      <c r="AC40" t="s">
        <v>360</v>
      </c>
    </row>
    <row r="41" spans="1:29" ht="15">
      <c r="A41" s="161">
        <f t="shared" si="0"/>
        <v>40</v>
      </c>
      <c r="B41" s="88" t="s">
        <v>36</v>
      </c>
      <c r="C41" t="s">
        <v>360</v>
      </c>
      <c r="AC41" t="s">
        <v>360</v>
      </c>
    </row>
    <row r="42" spans="1:29" ht="15">
      <c r="A42" s="161">
        <f t="shared" si="0"/>
        <v>41</v>
      </c>
      <c r="B42" s="87" t="s">
        <v>56</v>
      </c>
    </row>
    <row r="43" spans="1:29" ht="15">
      <c r="A43" s="161">
        <f t="shared" si="0"/>
        <v>42</v>
      </c>
      <c r="B43" s="87" t="s">
        <v>60</v>
      </c>
      <c r="C43" t="s">
        <v>360</v>
      </c>
      <c r="AC43" t="s">
        <v>360</v>
      </c>
    </row>
    <row r="44" spans="1:29" ht="15">
      <c r="A44" s="161">
        <f t="shared" si="0"/>
        <v>43</v>
      </c>
      <c r="B44" s="88" t="s">
        <v>119</v>
      </c>
      <c r="G44" t="s">
        <v>360</v>
      </c>
      <c r="I44" t="s">
        <v>360</v>
      </c>
      <c r="K44" t="s">
        <v>360</v>
      </c>
      <c r="AC44" t="s">
        <v>360</v>
      </c>
    </row>
    <row r="45" spans="1:29" ht="15">
      <c r="A45" s="161">
        <f t="shared" si="0"/>
        <v>44</v>
      </c>
      <c r="B45" s="88" t="s">
        <v>16</v>
      </c>
      <c r="G45" t="s">
        <v>360</v>
      </c>
      <c r="I45" t="s">
        <v>360</v>
      </c>
      <c r="K45" t="s">
        <v>360</v>
      </c>
    </row>
    <row r="46" spans="1:29" ht="15">
      <c r="A46" s="161">
        <f t="shared" si="0"/>
        <v>45</v>
      </c>
      <c r="B46" s="88" t="s">
        <v>118</v>
      </c>
    </row>
    <row r="47" spans="1:29" ht="15">
      <c r="A47" s="161">
        <f t="shared" si="0"/>
        <v>46</v>
      </c>
      <c r="B47" s="88" t="s">
        <v>90</v>
      </c>
      <c r="C47" t="s">
        <v>360</v>
      </c>
      <c r="AC47" t="s">
        <v>360</v>
      </c>
    </row>
    <row r="48" spans="1:29" ht="15">
      <c r="A48" s="161">
        <f t="shared" si="0"/>
        <v>47</v>
      </c>
      <c r="B48" s="87" t="s">
        <v>41</v>
      </c>
      <c r="C48" t="s">
        <v>360</v>
      </c>
    </row>
    <row r="49" spans="1:29" ht="15">
      <c r="A49" s="161">
        <f t="shared" si="0"/>
        <v>48</v>
      </c>
      <c r="B49" s="88" t="s">
        <v>14</v>
      </c>
      <c r="C49" t="s">
        <v>360</v>
      </c>
      <c r="AC49" t="s">
        <v>360</v>
      </c>
    </row>
    <row r="50" spans="1:29" ht="15">
      <c r="A50" s="161">
        <f t="shared" si="0"/>
        <v>49</v>
      </c>
      <c r="B50" s="88" t="s">
        <v>12</v>
      </c>
      <c r="G50" t="s">
        <v>360</v>
      </c>
      <c r="I50" t="s">
        <v>360</v>
      </c>
      <c r="K50" t="s">
        <v>360</v>
      </c>
    </row>
    <row r="51" spans="1:29" ht="15">
      <c r="A51" s="161">
        <f t="shared" si="0"/>
        <v>50</v>
      </c>
      <c r="B51" s="87" t="s">
        <v>5</v>
      </c>
      <c r="K51" t="s">
        <v>360</v>
      </c>
    </row>
    <row r="52" spans="1:29" ht="15">
      <c r="A52" s="161">
        <f t="shared" si="0"/>
        <v>51</v>
      </c>
      <c r="B52" s="87" t="s">
        <v>91</v>
      </c>
      <c r="C52" t="s">
        <v>360</v>
      </c>
    </row>
    <row r="53" spans="1:29" ht="15">
      <c r="A53" s="161">
        <f t="shared" si="0"/>
        <v>52</v>
      </c>
      <c r="B53" s="88" t="s">
        <v>37</v>
      </c>
      <c r="C53" t="s">
        <v>360</v>
      </c>
      <c r="AC53" t="s">
        <v>360</v>
      </c>
    </row>
    <row r="54" spans="1:29" ht="15">
      <c r="A54" s="161">
        <f t="shared" si="0"/>
        <v>53</v>
      </c>
      <c r="B54" s="88" t="s">
        <v>44</v>
      </c>
      <c r="C54" t="s">
        <v>360</v>
      </c>
    </row>
    <row r="55" spans="1:29" ht="15">
      <c r="A55" s="161">
        <f t="shared" si="0"/>
        <v>54</v>
      </c>
      <c r="B55" s="88" t="s">
        <v>54</v>
      </c>
      <c r="C55" t="s">
        <v>360</v>
      </c>
    </row>
    <row r="56" spans="1:29" ht="15">
      <c r="A56" s="161">
        <f t="shared" si="0"/>
        <v>55</v>
      </c>
      <c r="B56" s="182" t="s">
        <v>64</v>
      </c>
      <c r="AA56" t="s">
        <v>360</v>
      </c>
    </row>
    <row r="57" spans="1:29" ht="15">
      <c r="A57" s="161">
        <f t="shared" si="0"/>
        <v>56</v>
      </c>
      <c r="B57" s="182" t="s">
        <v>73</v>
      </c>
      <c r="AA57" t="s">
        <v>360</v>
      </c>
    </row>
    <row r="58" spans="1:29" ht="15">
      <c r="A58" s="161">
        <f t="shared" si="0"/>
        <v>57</v>
      </c>
      <c r="B58" s="182" t="s">
        <v>161</v>
      </c>
      <c r="AA58" t="s">
        <v>360</v>
      </c>
      <c r="AB58">
        <v>600</v>
      </c>
    </row>
    <row r="59" spans="1:29" ht="15">
      <c r="A59" s="161">
        <f t="shared" si="0"/>
        <v>58</v>
      </c>
      <c r="B59" s="88" t="s">
        <v>179</v>
      </c>
      <c r="AA59" t="s">
        <v>360</v>
      </c>
      <c r="AB59">
        <v>270</v>
      </c>
    </row>
    <row r="60" spans="1:29" ht="15">
      <c r="A60" s="161">
        <f t="shared" si="0"/>
        <v>59</v>
      </c>
      <c r="B60" s="88" t="s">
        <v>183</v>
      </c>
      <c r="AA60" t="s">
        <v>360</v>
      </c>
      <c r="AB60">
        <v>270</v>
      </c>
    </row>
    <row r="61" spans="1:29" ht="15">
      <c r="A61" s="161">
        <f t="shared" si="0"/>
        <v>60</v>
      </c>
      <c r="B61" s="88" t="s">
        <v>92</v>
      </c>
      <c r="AA61" t="s">
        <v>360</v>
      </c>
    </row>
    <row r="62" spans="1:29" ht="15">
      <c r="A62" s="161">
        <f t="shared" si="0"/>
        <v>61</v>
      </c>
      <c r="B62" s="88" t="s">
        <v>94</v>
      </c>
      <c r="AA62" t="s">
        <v>360</v>
      </c>
    </row>
    <row r="63" spans="1:29" ht="15">
      <c r="A63" s="161">
        <f t="shared" si="0"/>
        <v>62</v>
      </c>
      <c r="B63" s="88" t="s">
        <v>95</v>
      </c>
      <c r="AA63" t="s">
        <v>360</v>
      </c>
    </row>
    <row r="64" spans="1:29" ht="15">
      <c r="A64" s="161">
        <f t="shared" si="0"/>
        <v>63</v>
      </c>
      <c r="B64" s="88" t="s">
        <v>96</v>
      </c>
      <c r="AA64" t="s">
        <v>360</v>
      </c>
    </row>
    <row r="65" spans="1:29" ht="15">
      <c r="A65" s="161">
        <f t="shared" si="0"/>
        <v>64</v>
      </c>
      <c r="B65" s="88" t="s">
        <v>97</v>
      </c>
      <c r="AA65" t="s">
        <v>360</v>
      </c>
    </row>
    <row r="66" spans="1:29" ht="15">
      <c r="A66" s="161">
        <f t="shared" si="0"/>
        <v>65</v>
      </c>
      <c r="B66" s="88" t="s">
        <v>98</v>
      </c>
      <c r="AA66" t="s">
        <v>360</v>
      </c>
    </row>
    <row r="67" spans="1:29" ht="15">
      <c r="A67" s="161">
        <f t="shared" si="0"/>
        <v>66</v>
      </c>
      <c r="B67" s="88" t="s">
        <v>181</v>
      </c>
      <c r="AA67" t="s">
        <v>360</v>
      </c>
      <c r="AB67">
        <v>275</v>
      </c>
    </row>
    <row r="68" spans="1:29" ht="15">
      <c r="A68" s="161">
        <f t="shared" ref="A68:A89" si="1">+A67+1</f>
        <v>67</v>
      </c>
      <c r="B68" s="88" t="s">
        <v>99</v>
      </c>
      <c r="AA68" t="s">
        <v>360</v>
      </c>
    </row>
    <row r="69" spans="1:29" ht="30">
      <c r="A69" s="161">
        <f t="shared" si="1"/>
        <v>68</v>
      </c>
      <c r="B69" s="88" t="s">
        <v>185</v>
      </c>
      <c r="AA69" t="s">
        <v>360</v>
      </c>
      <c r="AB69">
        <v>590</v>
      </c>
    </row>
    <row r="70" spans="1:29" ht="15">
      <c r="A70" s="161">
        <f t="shared" si="1"/>
        <v>69</v>
      </c>
      <c r="B70" s="88" t="s">
        <v>163</v>
      </c>
      <c r="AA70" t="s">
        <v>360</v>
      </c>
      <c r="AB70">
        <v>630</v>
      </c>
    </row>
    <row r="71" spans="1:29" ht="15">
      <c r="A71" s="161">
        <f t="shared" si="1"/>
        <v>70</v>
      </c>
      <c r="B71" s="88" t="s">
        <v>101</v>
      </c>
      <c r="AA71" t="s">
        <v>360</v>
      </c>
    </row>
    <row r="72" spans="1:29" ht="15">
      <c r="A72" s="161">
        <f t="shared" si="1"/>
        <v>71</v>
      </c>
      <c r="B72" s="88" t="s">
        <v>102</v>
      </c>
      <c r="AA72" t="s">
        <v>360</v>
      </c>
    </row>
    <row r="73" spans="1:29" ht="15">
      <c r="A73" s="161">
        <f t="shared" si="1"/>
        <v>72</v>
      </c>
      <c r="B73" s="88" t="s">
        <v>103</v>
      </c>
      <c r="AA73" t="s">
        <v>360</v>
      </c>
    </row>
    <row r="74" spans="1:29" ht="15">
      <c r="A74" s="161">
        <f t="shared" si="1"/>
        <v>73</v>
      </c>
      <c r="B74" s="88" t="s">
        <v>63</v>
      </c>
      <c r="C74" t="s">
        <v>360</v>
      </c>
    </row>
    <row r="75" spans="1:29" ht="15">
      <c r="A75" s="161">
        <f t="shared" si="1"/>
        <v>74</v>
      </c>
      <c r="B75" s="88" t="s">
        <v>42</v>
      </c>
      <c r="C75" t="s">
        <v>360</v>
      </c>
    </row>
    <row r="76" spans="1:29" ht="15">
      <c r="A76" s="161">
        <f t="shared" si="1"/>
        <v>75</v>
      </c>
      <c r="B76" s="88" t="s">
        <v>117</v>
      </c>
      <c r="AC76" t="s">
        <v>360</v>
      </c>
    </row>
    <row r="77" spans="1:29" ht="15">
      <c r="A77" s="161">
        <f t="shared" si="1"/>
        <v>76</v>
      </c>
      <c r="B77" s="88" t="s">
        <v>204</v>
      </c>
      <c r="U77" t="s">
        <v>360</v>
      </c>
    </row>
    <row r="78" spans="1:29" ht="15">
      <c r="A78" s="161">
        <f t="shared" si="1"/>
        <v>77</v>
      </c>
      <c r="B78" s="88" t="s">
        <v>104</v>
      </c>
      <c r="E78" t="s">
        <v>360</v>
      </c>
      <c r="F78">
        <v>450</v>
      </c>
    </row>
    <row r="79" spans="1:29" ht="15">
      <c r="A79" s="161">
        <f t="shared" si="1"/>
        <v>78</v>
      </c>
      <c r="B79" s="88" t="s">
        <v>13</v>
      </c>
      <c r="I79" t="s">
        <v>360</v>
      </c>
    </row>
    <row r="80" spans="1:29" ht="15">
      <c r="A80" s="161">
        <f t="shared" si="1"/>
        <v>79</v>
      </c>
      <c r="B80" s="88" t="s">
        <v>17</v>
      </c>
      <c r="I80" t="s">
        <v>360</v>
      </c>
    </row>
    <row r="81" spans="1:29" ht="15">
      <c r="A81" s="161">
        <f t="shared" si="1"/>
        <v>80</v>
      </c>
      <c r="B81" s="88" t="s">
        <v>71</v>
      </c>
      <c r="M81" t="s">
        <v>360</v>
      </c>
    </row>
    <row r="82" spans="1:29" ht="15">
      <c r="A82" s="161">
        <f t="shared" si="1"/>
        <v>81</v>
      </c>
      <c r="B82" s="88" t="s">
        <v>47</v>
      </c>
      <c r="C82" t="s">
        <v>360</v>
      </c>
    </row>
    <row r="83" spans="1:29" ht="15">
      <c r="A83" s="161">
        <f t="shared" si="1"/>
        <v>82</v>
      </c>
      <c r="B83" s="88" t="s">
        <v>187</v>
      </c>
      <c r="Q83" t="s">
        <v>360</v>
      </c>
    </row>
    <row r="84" spans="1:29" ht="15">
      <c r="A84" s="161">
        <f t="shared" si="1"/>
        <v>83</v>
      </c>
      <c r="B84" s="88" t="s">
        <v>189</v>
      </c>
      <c r="E84" t="s">
        <v>360</v>
      </c>
      <c r="F84">
        <v>430</v>
      </c>
    </row>
    <row r="85" spans="1:29" ht="15">
      <c r="A85" s="161">
        <f t="shared" si="1"/>
        <v>84</v>
      </c>
      <c r="B85" s="214" t="s">
        <v>217</v>
      </c>
      <c r="Q85" t="s">
        <v>360</v>
      </c>
    </row>
    <row r="86" spans="1:29" ht="15">
      <c r="A86" s="161">
        <f t="shared" si="1"/>
        <v>85</v>
      </c>
      <c r="B86" s="88" t="s">
        <v>115</v>
      </c>
      <c r="AC86" t="s">
        <v>360</v>
      </c>
    </row>
    <row r="87" spans="1:29" ht="15">
      <c r="A87" s="161">
        <f t="shared" si="1"/>
        <v>86</v>
      </c>
      <c r="B87" s="88" t="s">
        <v>58</v>
      </c>
      <c r="C87" t="s">
        <v>360</v>
      </c>
    </row>
    <row r="88" spans="1:29" ht="15">
      <c r="A88" s="161">
        <f t="shared" si="1"/>
        <v>87</v>
      </c>
      <c r="B88" s="88" t="s">
        <v>57</v>
      </c>
      <c r="C88" t="s">
        <v>360</v>
      </c>
    </row>
    <row r="89" spans="1:29" ht="15">
      <c r="A89" s="161">
        <f t="shared" si="1"/>
        <v>88</v>
      </c>
      <c r="B89" s="88" t="s">
        <v>272</v>
      </c>
      <c r="C89" t="s">
        <v>360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F274-0836-9F4B-808F-224F075A3769}">
  <dimension ref="A1:O44"/>
  <sheetViews>
    <sheetView workbookViewId="0">
      <selection activeCell="I2" sqref="I2:I44"/>
    </sheetView>
  </sheetViews>
  <sheetFormatPr baseColWidth="10" defaultColWidth="8.83203125" defaultRowHeight="14"/>
  <cols>
    <col min="1" max="1" width="34" customWidth="1"/>
    <col min="2" max="2" width="24" customWidth="1"/>
    <col min="3" max="3" width="27.1640625" customWidth="1"/>
    <col min="4" max="4" width="25.6640625" customWidth="1"/>
    <col min="5" max="5" width="28.83203125" customWidth="1"/>
    <col min="6" max="9" width="16" customWidth="1"/>
    <col min="10" max="10" width="22" customWidth="1"/>
    <col min="11" max="11" width="44" customWidth="1"/>
    <col min="13" max="13" width="20" customWidth="1"/>
    <col min="14" max="14" width="40" customWidth="1"/>
    <col min="15" max="15" width="24" customWidth="1"/>
  </cols>
  <sheetData>
    <row r="1" spans="1:15" ht="48">
      <c r="A1" s="315" t="s">
        <v>277</v>
      </c>
      <c r="B1" s="315" t="s">
        <v>462</v>
      </c>
      <c r="C1" s="315" t="s">
        <v>488</v>
      </c>
      <c r="D1" s="315" t="s">
        <v>490</v>
      </c>
      <c r="E1" s="315" t="s">
        <v>492</v>
      </c>
      <c r="F1" s="315" t="s">
        <v>494</v>
      </c>
      <c r="G1" s="315" t="s">
        <v>496</v>
      </c>
      <c r="H1" s="315" t="s">
        <v>521</v>
      </c>
      <c r="I1" s="315" t="s">
        <v>461</v>
      </c>
      <c r="J1" s="315" t="s">
        <v>522</v>
      </c>
      <c r="K1" s="315" t="s">
        <v>523</v>
      </c>
      <c r="M1" s="393" t="s">
        <v>524</v>
      </c>
      <c r="N1" s="394"/>
      <c r="O1" s="394"/>
    </row>
    <row r="2" spans="1:15" ht="45">
      <c r="A2" s="316" t="s">
        <v>15</v>
      </c>
      <c r="B2" s="316" t="s">
        <v>463</v>
      </c>
      <c r="C2" s="316">
        <v>4</v>
      </c>
      <c r="D2" s="316">
        <v>2</v>
      </c>
      <c r="E2" s="316">
        <v>3</v>
      </c>
      <c r="F2" s="316">
        <v>4</v>
      </c>
      <c r="G2" s="316">
        <f>WholesaleLogicTable[[#This Row],[Differentiation / Origin Value]]</f>
        <v>4</v>
      </c>
      <c r="H2" s="318">
        <f>(C2*'Logic &amp; Weights'!$B$4 + (6-D2)*'Logic &amp; Weights'!$B$5 + E2*'Logic &amp; Weights'!$B$6 + (6-F2)*'Logic &amp; Weights'!$B$7 + G2*'Logic &amp; Weights'!$B$8)/5</f>
        <v>0.69</v>
      </c>
      <c r="I2" s="319">
        <f>ROUND(('Logic &amp; Weights'!$B$9 + H2*('Logic &amp; Weights'!$B$10-'Logic &amp; Weights'!$B$9))*100,0)/100</f>
        <v>0.84</v>
      </c>
      <c r="J2" s="316" t="str">
        <f t="shared" ref="J2:J44" si="0">IF(I2&lt;=0.75,"Commodity 70-75%",IF(I2&lt;=0.82,"Mid Premium 75-82%",IF(I2&lt;=0.88,"Premium 82-88%","Ultra Premium 88-92%")))</f>
        <v>Premium 82-88%</v>
      </c>
      <c r="K2" s="316" t="str">
        <f t="shared" ref="K2:K44" si="1">"Base 70% + Weighted Score × 20%. Higher premium score = wholesale closer to retail. Comparability and elasticity are reverse-scored."</f>
        <v>Base 70% + Weighted Score × 20%. Higher premium score = wholesale closer to retail. Comparability and elasticity are reverse-scored.</v>
      </c>
      <c r="M2" s="315" t="s">
        <v>525</v>
      </c>
      <c r="N2" s="315" t="s">
        <v>526</v>
      </c>
      <c r="O2" s="315" t="s">
        <v>527</v>
      </c>
    </row>
    <row r="3" spans="1:15" ht="45">
      <c r="A3" s="316" t="s">
        <v>35</v>
      </c>
      <c r="B3" s="316" t="s">
        <v>463</v>
      </c>
      <c r="C3" s="316">
        <v>5</v>
      </c>
      <c r="D3" s="316">
        <v>2</v>
      </c>
      <c r="E3" s="316">
        <v>3</v>
      </c>
      <c r="F3" s="316">
        <v>2</v>
      </c>
      <c r="G3" s="316">
        <f>WholesaleLogicTable[[#This Row],[Differentiation / Origin Value]]</f>
        <v>5</v>
      </c>
      <c r="H3" s="318">
        <f>(C3*'Logic &amp; Weights'!$B$4 + (6-D3)*'Logic &amp; Weights'!$B$5 + E3*'Logic &amp; Weights'!$B$6 + (6-F3)*'Logic &amp; Weights'!$B$7 + G3*'Logic &amp; Weights'!$B$8)/5</f>
        <v>0.83000000000000007</v>
      </c>
      <c r="I3" s="319">
        <f>ROUND(('Logic &amp; Weights'!$B$9 + H3*('Logic &amp; Weights'!$B$10-'Logic &amp; Weights'!$B$9))*100,0)/100</f>
        <v>0.87</v>
      </c>
      <c r="J3" s="316" t="str">
        <f t="shared" si="0"/>
        <v>Premium 82-88%</v>
      </c>
      <c r="K3" s="316" t="str">
        <f t="shared" si="1"/>
        <v>Base 70% + Weighted Score × 20%. Higher premium score = wholesale closer to retail. Comparability and elasticity are reverse-scored.</v>
      </c>
      <c r="M3" t="s">
        <v>528</v>
      </c>
      <c r="N3" t="s">
        <v>529</v>
      </c>
      <c r="O3" t="s">
        <v>530</v>
      </c>
    </row>
    <row r="4" spans="1:15" ht="45">
      <c r="A4" s="316" t="s">
        <v>543</v>
      </c>
      <c r="B4" s="316" t="s">
        <v>464</v>
      </c>
      <c r="C4" s="316">
        <v>2</v>
      </c>
      <c r="D4" s="316">
        <v>4</v>
      </c>
      <c r="E4" s="316">
        <v>3</v>
      </c>
      <c r="F4" s="316">
        <v>3</v>
      </c>
      <c r="G4" s="316">
        <f>WholesaleLogicTable[[#This Row],[Differentiation / Origin Value]]</f>
        <v>2</v>
      </c>
      <c r="H4" s="318">
        <f>(C4*'Logic &amp; Weights'!$B$4 + (6-D4)*'Logic &amp; Weights'!$B$5 + E4*'Logic &amp; Weights'!$B$6 + (6-F4)*'Logic &amp; Weights'!$B$7 + G4*'Logic &amp; Weights'!$B$8)/5</f>
        <v>0.48000000000000009</v>
      </c>
      <c r="I4" s="319">
        <f>ROUND(('Logic &amp; Weights'!$B$9 + H4*('Logic &amp; Weights'!$B$10-'Logic &amp; Weights'!$B$9))*100,0)/100</f>
        <v>0.8</v>
      </c>
      <c r="J4" s="316" t="str">
        <f t="shared" si="0"/>
        <v>Mid Premium 75-82%</v>
      </c>
      <c r="K4" s="316" t="str">
        <f t="shared" si="1"/>
        <v>Base 70% + Weighted Score × 20%. Higher premium score = wholesale closer to retail. Comparability and elasticity are reverse-scored.</v>
      </c>
      <c r="M4" t="s">
        <v>531</v>
      </c>
      <c r="N4" t="s">
        <v>532</v>
      </c>
      <c r="O4" t="s">
        <v>533</v>
      </c>
    </row>
    <row r="5" spans="1:15" ht="45">
      <c r="A5" s="316" t="s">
        <v>1</v>
      </c>
      <c r="B5" s="316" t="s">
        <v>465</v>
      </c>
      <c r="C5" s="316">
        <v>4</v>
      </c>
      <c r="D5" s="316">
        <v>2</v>
      </c>
      <c r="E5" s="316">
        <v>3</v>
      </c>
      <c r="F5" s="316">
        <v>2</v>
      </c>
      <c r="G5" s="316">
        <f>WholesaleLogicTable[[#This Row],[Differentiation / Origin Value]]</f>
        <v>4</v>
      </c>
      <c r="H5" s="318">
        <f>(C5*'Logic &amp; Weights'!$B$4 + (6-D5)*'Logic &amp; Weights'!$B$5 + E5*'Logic &amp; Weights'!$B$6 + (6-F5)*'Logic &amp; Weights'!$B$7 + G5*'Logic &amp; Weights'!$B$8)/5</f>
        <v>0.75</v>
      </c>
      <c r="I5" s="319">
        <f>ROUND(('Logic &amp; Weights'!$B$9 + H5*('Logic &amp; Weights'!$B$10-'Logic &amp; Weights'!$B$9))*100,0)/100</f>
        <v>0.85</v>
      </c>
      <c r="J5" s="316" t="str">
        <f t="shared" si="0"/>
        <v>Premium 82-88%</v>
      </c>
      <c r="K5" s="316" t="str">
        <f t="shared" si="1"/>
        <v>Base 70% + Weighted Score × 20%. Higher premium score = wholesale closer to retail. Comparability and elasticity are reverse-scored.</v>
      </c>
      <c r="M5" t="s">
        <v>534</v>
      </c>
      <c r="N5" t="s">
        <v>535</v>
      </c>
      <c r="O5" t="s">
        <v>536</v>
      </c>
    </row>
    <row r="6" spans="1:15" ht="45">
      <c r="A6" s="316" t="s">
        <v>466</v>
      </c>
      <c r="B6" s="316" t="s">
        <v>467</v>
      </c>
      <c r="C6" s="316">
        <v>4</v>
      </c>
      <c r="D6" s="316">
        <v>2</v>
      </c>
      <c r="E6" s="316">
        <v>3</v>
      </c>
      <c r="F6" s="316">
        <v>5</v>
      </c>
      <c r="G6" s="316">
        <f>WholesaleLogicTable[[#This Row],[Differentiation / Origin Value]]</f>
        <v>4</v>
      </c>
      <c r="H6" s="318">
        <f>(C6*'Logic &amp; Weights'!$B$4 + (6-D6)*'Logic &amp; Weights'!$B$5 + E6*'Logic &amp; Weights'!$B$6 + (6-F6)*'Logic &amp; Weights'!$B$7 + G6*'Logic &amp; Weights'!$B$8)/5</f>
        <v>0.65999999999999992</v>
      </c>
      <c r="I6" s="319">
        <f>ROUND(('Logic &amp; Weights'!$B$9 + H6*('Logic &amp; Weights'!$B$10-'Logic &amp; Weights'!$B$9))*100,0)/100</f>
        <v>0.83</v>
      </c>
      <c r="J6" s="316" t="str">
        <f t="shared" si="0"/>
        <v>Premium 82-88%</v>
      </c>
      <c r="K6" s="316" t="str">
        <f t="shared" si="1"/>
        <v>Base 70% + Weighted Score × 20%. Higher premium score = wholesale closer to retail. Comparability and elasticity are reverse-scored.</v>
      </c>
      <c r="M6" t="s">
        <v>537</v>
      </c>
      <c r="N6" t="s">
        <v>538</v>
      </c>
      <c r="O6" t="s">
        <v>539</v>
      </c>
    </row>
    <row r="7" spans="1:15" ht="45">
      <c r="A7" s="316" t="s">
        <v>5</v>
      </c>
      <c r="B7" s="316" t="s">
        <v>465</v>
      </c>
      <c r="C7" s="316">
        <v>5</v>
      </c>
      <c r="D7" s="316">
        <v>1</v>
      </c>
      <c r="E7" s="316">
        <v>3</v>
      </c>
      <c r="F7" s="316">
        <v>2</v>
      </c>
      <c r="G7" s="316">
        <f>WholesaleLogicTable[[#This Row],[Differentiation / Origin Value]]</f>
        <v>5</v>
      </c>
      <c r="H7" s="318">
        <f>(C7*'Logic &amp; Weights'!$B$4 + (6-D7)*'Logic &amp; Weights'!$B$5 + E7*'Logic &amp; Weights'!$B$6 + (6-F7)*'Logic &amp; Weights'!$B$7 + G7*'Logic &amp; Weights'!$B$8)/5</f>
        <v>0.86999999999999988</v>
      </c>
      <c r="I7" s="319">
        <f>ROUND(('Logic &amp; Weights'!$B$9 + H7*('Logic &amp; Weights'!$B$10-'Logic &amp; Weights'!$B$9))*100,0)/100</f>
        <v>0.87</v>
      </c>
      <c r="J7" s="316" t="str">
        <f t="shared" si="0"/>
        <v>Premium 82-88%</v>
      </c>
      <c r="K7" s="316" t="str">
        <f t="shared" si="1"/>
        <v>Base 70% + Weighted Score × 20%. Higher premium score = wholesale closer to retail. Comparability and elasticity are reverse-scored.</v>
      </c>
    </row>
    <row r="8" spans="1:15" ht="45">
      <c r="A8" s="316" t="s">
        <v>161</v>
      </c>
      <c r="B8" s="316" t="s">
        <v>465</v>
      </c>
      <c r="C8" s="316">
        <v>3</v>
      </c>
      <c r="D8" s="316">
        <v>3</v>
      </c>
      <c r="E8" s="316">
        <v>3</v>
      </c>
      <c r="F8" s="316">
        <v>2</v>
      </c>
      <c r="G8" s="316">
        <f>WholesaleLogicTable[[#This Row],[Differentiation / Origin Value]]</f>
        <v>3</v>
      </c>
      <c r="H8" s="318">
        <f>(C8*'Logic &amp; Weights'!$B$4 + (6-D8)*'Logic &amp; Weights'!$B$5 + E8*'Logic &amp; Weights'!$B$6 + (6-F8)*'Logic &amp; Weights'!$B$7 + G8*'Logic &amp; Weights'!$B$8)/5</f>
        <v>0.63000000000000012</v>
      </c>
      <c r="I8" s="319">
        <f>ROUND(('Logic &amp; Weights'!$B$9 + H8*('Logic &amp; Weights'!$B$10-'Logic &amp; Weights'!$B$9))*100,0)/100</f>
        <v>0.83</v>
      </c>
      <c r="J8" s="316" t="str">
        <f t="shared" si="0"/>
        <v>Premium 82-88%</v>
      </c>
      <c r="K8" s="316" t="str">
        <f t="shared" si="1"/>
        <v>Base 70% + Weighted Score × 20%. Higher premium score = wholesale closer to retail. Comparability and elasticity are reverse-scored.</v>
      </c>
    </row>
    <row r="9" spans="1:15" ht="45">
      <c r="A9" s="316" t="s">
        <v>163</v>
      </c>
      <c r="B9" s="316" t="s">
        <v>465</v>
      </c>
      <c r="C9" s="316">
        <v>3</v>
      </c>
      <c r="D9" s="316">
        <v>3</v>
      </c>
      <c r="E9" s="316">
        <v>3</v>
      </c>
      <c r="F9" s="316">
        <v>3</v>
      </c>
      <c r="G9" s="316">
        <f>WholesaleLogicTable[[#This Row],[Differentiation / Origin Value]]</f>
        <v>3</v>
      </c>
      <c r="H9" s="318">
        <f>(C9*'Logic &amp; Weights'!$B$4 + (6-D9)*'Logic &amp; Weights'!$B$5 + E9*'Logic &amp; Weights'!$B$6 + (6-F9)*'Logic &amp; Weights'!$B$7 + G9*'Logic &amp; Weights'!$B$8)/5</f>
        <v>0.6</v>
      </c>
      <c r="I9" s="319">
        <f>ROUND(('Logic &amp; Weights'!$B$9 + H9*('Logic &amp; Weights'!$B$10-'Logic &amp; Weights'!$B$9))*100,0)/100</f>
        <v>0.82</v>
      </c>
      <c r="J9" s="316" t="str">
        <f t="shared" si="0"/>
        <v>Mid Premium 75-82%</v>
      </c>
      <c r="K9" s="316" t="str">
        <f t="shared" si="1"/>
        <v>Base 70% + Weighted Score × 20%. Higher premium score = wholesale closer to retail. Comparability and elasticity are reverse-scored.</v>
      </c>
    </row>
    <row r="10" spans="1:15" ht="45">
      <c r="A10" s="316" t="s">
        <v>0</v>
      </c>
      <c r="B10" s="316" t="s">
        <v>465</v>
      </c>
      <c r="C10" s="316">
        <v>3</v>
      </c>
      <c r="D10" s="316">
        <v>3</v>
      </c>
      <c r="E10" s="316">
        <v>3</v>
      </c>
      <c r="F10" s="316">
        <v>2</v>
      </c>
      <c r="G10" s="316">
        <f>WholesaleLogicTable[[#This Row],[Differentiation / Origin Value]]</f>
        <v>3</v>
      </c>
      <c r="H10" s="318">
        <f>(C10*'Logic &amp; Weights'!$B$4 + (6-D10)*'Logic &amp; Weights'!$B$5 + E10*'Logic &amp; Weights'!$B$6 + (6-F10)*'Logic &amp; Weights'!$B$7 + G10*'Logic &amp; Weights'!$B$8)/5</f>
        <v>0.63000000000000012</v>
      </c>
      <c r="I10" s="319">
        <f>ROUND(('Logic &amp; Weights'!$B$9 + H10*('Logic &amp; Weights'!$B$10-'Logic &amp; Weights'!$B$9))*100,0)/100</f>
        <v>0.83</v>
      </c>
      <c r="J10" s="316" t="str">
        <f t="shared" si="0"/>
        <v>Premium 82-88%</v>
      </c>
      <c r="K10" s="316" t="str">
        <f t="shared" si="1"/>
        <v>Base 70% + Weighted Score × 20%. Higher premium score = wholesale closer to retail. Comparability and elasticity are reverse-scored.</v>
      </c>
    </row>
    <row r="11" spans="1:15" ht="45">
      <c r="A11" s="316" t="s">
        <v>2</v>
      </c>
      <c r="B11" s="316" t="s">
        <v>467</v>
      </c>
      <c r="C11" s="316">
        <v>1</v>
      </c>
      <c r="D11" s="316">
        <v>5</v>
      </c>
      <c r="E11" s="316">
        <v>3</v>
      </c>
      <c r="F11" s="316">
        <v>5</v>
      </c>
      <c r="G11" s="316">
        <f>WholesaleLogicTable[[#This Row],[Differentiation / Origin Value]]</f>
        <v>1</v>
      </c>
      <c r="H11" s="318">
        <f>(C11*'Logic &amp; Weights'!$B$4 + (6-D11)*'Logic &amp; Weights'!$B$5 + E11*'Logic &amp; Weights'!$B$6 + (6-F11)*'Logic &amp; Weights'!$B$7 + G11*'Logic &amp; Weights'!$B$8)/5</f>
        <v>0.3</v>
      </c>
      <c r="I11" s="319">
        <f>ROUND(('Logic &amp; Weights'!$B$9 + H11*('Logic &amp; Weights'!$B$10-'Logic &amp; Weights'!$B$9))*100,0)/100</f>
        <v>0.76</v>
      </c>
      <c r="J11" s="316" t="str">
        <f t="shared" si="0"/>
        <v>Mid Premium 75-82%</v>
      </c>
      <c r="K11" s="316" t="str">
        <f t="shared" si="1"/>
        <v>Base 70% + Weighted Score × 20%. Higher premium score = wholesale closer to retail. Comparability and elasticity are reverse-scored.</v>
      </c>
    </row>
    <row r="12" spans="1:15" ht="45">
      <c r="A12" s="316" t="s">
        <v>3</v>
      </c>
      <c r="B12" s="316" t="s">
        <v>468</v>
      </c>
      <c r="C12" s="316">
        <v>2</v>
      </c>
      <c r="D12" s="316">
        <v>4</v>
      </c>
      <c r="E12" s="316">
        <v>3</v>
      </c>
      <c r="F12" s="316">
        <v>4</v>
      </c>
      <c r="G12" s="316">
        <f>WholesaleLogicTable[[#This Row],[Differentiation / Origin Value]]</f>
        <v>2</v>
      </c>
      <c r="H12" s="318">
        <f>(C12*'Logic &amp; Weights'!$B$4 + (6-D12)*'Logic &amp; Weights'!$B$5 + E12*'Logic &amp; Weights'!$B$6 + (6-F12)*'Logic &amp; Weights'!$B$7 + G12*'Logic &amp; Weights'!$B$8)/5</f>
        <v>0.45</v>
      </c>
      <c r="I12" s="319">
        <f>ROUND(('Logic &amp; Weights'!$B$9 + H12*('Logic &amp; Weights'!$B$10-'Logic &amp; Weights'!$B$9))*100,0)/100</f>
        <v>0.79</v>
      </c>
      <c r="J12" s="316" t="str">
        <f t="shared" si="0"/>
        <v>Mid Premium 75-82%</v>
      </c>
      <c r="K12" s="316" t="str">
        <f t="shared" si="1"/>
        <v>Base 70% + Weighted Score × 20%. Higher premium score = wholesale closer to retail. Comparability and elasticity are reverse-scored.</v>
      </c>
    </row>
    <row r="13" spans="1:15" ht="45">
      <c r="A13" s="316" t="s">
        <v>41</v>
      </c>
      <c r="B13" s="316" t="s">
        <v>467</v>
      </c>
      <c r="C13" s="316">
        <v>1</v>
      </c>
      <c r="D13" s="316">
        <v>5</v>
      </c>
      <c r="E13" s="316">
        <v>3</v>
      </c>
      <c r="F13" s="316">
        <v>5</v>
      </c>
      <c r="G13" s="316">
        <f>WholesaleLogicTable[[#This Row],[Differentiation / Origin Value]]</f>
        <v>1</v>
      </c>
      <c r="H13" s="318">
        <f>(C13*'Logic &amp; Weights'!$B$4 + (6-D13)*'Logic &amp; Weights'!$B$5 + E13*'Logic &amp; Weights'!$B$6 + (6-F13)*'Logic &amp; Weights'!$B$7 + G13*'Logic &amp; Weights'!$B$8)/5</f>
        <v>0.3</v>
      </c>
      <c r="I13" s="319">
        <f>ROUND(('Logic &amp; Weights'!$B$9 + H13*('Logic &amp; Weights'!$B$10-'Logic &amp; Weights'!$B$9))*100,0)/100</f>
        <v>0.76</v>
      </c>
      <c r="J13" s="316" t="str">
        <f t="shared" si="0"/>
        <v>Mid Premium 75-82%</v>
      </c>
      <c r="K13" s="316" t="str">
        <f t="shared" si="1"/>
        <v>Base 70% + Weighted Score × 20%. Higher premium score = wholesale closer to retail. Comparability and elasticity are reverse-scored.</v>
      </c>
    </row>
    <row r="14" spans="1:15" ht="45">
      <c r="A14" s="316" t="s">
        <v>16</v>
      </c>
      <c r="B14" s="316" t="s">
        <v>469</v>
      </c>
      <c r="C14" s="316">
        <v>5</v>
      </c>
      <c r="D14" s="316">
        <v>1</v>
      </c>
      <c r="E14" s="316">
        <v>3</v>
      </c>
      <c r="F14" s="316">
        <v>1</v>
      </c>
      <c r="G14" s="316">
        <f>WholesaleLogicTable[[#This Row],[Differentiation / Origin Value]]</f>
        <v>5</v>
      </c>
      <c r="H14" s="318">
        <f>(C14*'Logic &amp; Weights'!$B$4 + (6-D14)*'Logic &amp; Weights'!$B$5 + E14*'Logic &amp; Weights'!$B$6 + (6-F14)*'Logic &amp; Weights'!$B$7 + G14*'Logic &amp; Weights'!$B$8)/5</f>
        <v>0.9</v>
      </c>
      <c r="I14" s="319">
        <f>ROUND(('Logic &amp; Weights'!$B$9 + H14*('Logic &amp; Weights'!$B$10-'Logic &amp; Weights'!$B$9))*100,0)/100</f>
        <v>0.88</v>
      </c>
      <c r="J14" s="316" t="str">
        <f t="shared" si="0"/>
        <v>Premium 82-88%</v>
      </c>
      <c r="K14" s="316" t="str">
        <f t="shared" si="1"/>
        <v>Base 70% + Weighted Score × 20%. Higher premium score = wholesale closer to retail. Comparability and elasticity are reverse-scored.</v>
      </c>
    </row>
    <row r="15" spans="1:15" ht="45">
      <c r="A15" s="316" t="s">
        <v>12</v>
      </c>
      <c r="B15" s="316" t="s">
        <v>469</v>
      </c>
      <c r="C15" s="316">
        <v>5</v>
      </c>
      <c r="D15" s="316">
        <v>2</v>
      </c>
      <c r="E15" s="316">
        <v>3</v>
      </c>
      <c r="F15" s="316">
        <v>2</v>
      </c>
      <c r="G15" s="316">
        <f>WholesaleLogicTable[[#This Row],[Differentiation / Origin Value]]</f>
        <v>5</v>
      </c>
      <c r="H15" s="318">
        <f>(C15*'Logic &amp; Weights'!$B$4 + (6-D15)*'Logic &amp; Weights'!$B$5 + E15*'Logic &amp; Weights'!$B$6 + (6-F15)*'Logic &amp; Weights'!$B$7 + G15*'Logic &amp; Weights'!$B$8)/5</f>
        <v>0.83000000000000007</v>
      </c>
      <c r="I15" s="319">
        <f>ROUND(('Logic &amp; Weights'!$B$9 + H15*('Logic &amp; Weights'!$B$10-'Logic &amp; Weights'!$B$9))*100,0)/100</f>
        <v>0.87</v>
      </c>
      <c r="J15" s="316" t="str">
        <f t="shared" si="0"/>
        <v>Premium 82-88%</v>
      </c>
      <c r="K15" s="316" t="str">
        <f t="shared" si="1"/>
        <v>Base 70% + Weighted Score × 20%. Higher premium score = wholesale closer to retail. Comparability and elasticity are reverse-scored.</v>
      </c>
    </row>
    <row r="16" spans="1:15" ht="45">
      <c r="A16" s="316" t="s">
        <v>13</v>
      </c>
      <c r="B16" s="316" t="s">
        <v>470</v>
      </c>
      <c r="C16" s="316">
        <v>4</v>
      </c>
      <c r="D16" s="316">
        <v>2</v>
      </c>
      <c r="E16" s="316">
        <v>3</v>
      </c>
      <c r="F16" s="316">
        <v>2</v>
      </c>
      <c r="G16" s="316">
        <f>WholesaleLogicTable[[#This Row],[Differentiation / Origin Value]]</f>
        <v>4</v>
      </c>
      <c r="H16" s="318">
        <f>(C16*'Logic &amp; Weights'!$B$4 + (6-D16)*'Logic &amp; Weights'!$B$5 + E16*'Logic &amp; Weights'!$B$6 + (6-F16)*'Logic &amp; Weights'!$B$7 + G16*'Logic &amp; Weights'!$B$8)/5</f>
        <v>0.75</v>
      </c>
      <c r="I16" s="319">
        <f>ROUND(('Logic &amp; Weights'!$B$9 + H16*('Logic &amp; Weights'!$B$10-'Logic &amp; Weights'!$B$9))*100,0)/100</f>
        <v>0.85</v>
      </c>
      <c r="J16" s="316" t="str">
        <f t="shared" si="0"/>
        <v>Premium 82-88%</v>
      </c>
      <c r="K16" s="316" t="str">
        <f t="shared" si="1"/>
        <v>Base 70% + Weighted Score × 20%. Higher premium score = wholesale closer to retail. Comparability and elasticity are reverse-scored.</v>
      </c>
    </row>
    <row r="17" spans="1:11" ht="45">
      <c r="A17" s="316" t="s">
        <v>172</v>
      </c>
      <c r="B17" s="316" t="s">
        <v>464</v>
      </c>
      <c r="C17" s="316">
        <v>3</v>
      </c>
      <c r="D17" s="316">
        <v>3</v>
      </c>
      <c r="E17" s="316">
        <v>3</v>
      </c>
      <c r="F17" s="316">
        <v>2</v>
      </c>
      <c r="G17" s="316">
        <f>WholesaleLogicTable[[#This Row],[Differentiation / Origin Value]]</f>
        <v>3</v>
      </c>
      <c r="H17" s="318">
        <f>(C17*'Logic &amp; Weights'!$B$4 + (6-D17)*'Logic &amp; Weights'!$B$5 + E17*'Logic &amp; Weights'!$B$6 + (6-F17)*'Logic &amp; Weights'!$B$7 + G17*'Logic &amp; Weights'!$B$8)/5</f>
        <v>0.63000000000000012</v>
      </c>
      <c r="I17" s="319">
        <f>ROUND(('Logic &amp; Weights'!$B$9 + H17*('Logic &amp; Weights'!$B$10-'Logic &amp; Weights'!$B$9))*100,0)/100</f>
        <v>0.83</v>
      </c>
      <c r="J17" s="316" t="str">
        <f t="shared" si="0"/>
        <v>Premium 82-88%</v>
      </c>
      <c r="K17" s="316" t="str">
        <f t="shared" si="1"/>
        <v>Base 70% + Weighted Score × 20%. Higher premium score = wholesale closer to retail. Comparability and elasticity are reverse-scored.</v>
      </c>
    </row>
    <row r="18" spans="1:11" ht="45">
      <c r="A18" s="316" t="s">
        <v>174</v>
      </c>
      <c r="B18" s="316" t="s">
        <v>467</v>
      </c>
      <c r="C18" s="316">
        <v>1</v>
      </c>
      <c r="D18" s="316">
        <v>5</v>
      </c>
      <c r="E18" s="316">
        <v>3</v>
      </c>
      <c r="F18" s="316">
        <v>5</v>
      </c>
      <c r="G18" s="316">
        <f>WholesaleLogicTable[[#This Row],[Differentiation / Origin Value]]</f>
        <v>1</v>
      </c>
      <c r="H18" s="318">
        <f>(C18*'Logic &amp; Weights'!$B$4 + (6-D18)*'Logic &amp; Weights'!$B$5 + E18*'Logic &amp; Weights'!$B$6 + (6-F18)*'Logic &amp; Weights'!$B$7 + G18*'Logic &amp; Weights'!$B$8)/5</f>
        <v>0.3</v>
      </c>
      <c r="I18" s="319">
        <f>ROUND(('Logic &amp; Weights'!$B$9 + H18*('Logic &amp; Weights'!$B$10-'Logic &amp; Weights'!$B$9))*100,0)/100</f>
        <v>0.76</v>
      </c>
      <c r="J18" s="316" t="str">
        <f t="shared" si="0"/>
        <v>Mid Premium 75-82%</v>
      </c>
      <c r="K18" s="316" t="str">
        <f t="shared" si="1"/>
        <v>Base 70% + Weighted Score × 20%. Higher premium score = wholesale closer to retail. Comparability and elasticity are reverse-scored.</v>
      </c>
    </row>
    <row r="19" spans="1:11" ht="45">
      <c r="A19" s="316" t="s">
        <v>176</v>
      </c>
      <c r="B19" s="316" t="s">
        <v>464</v>
      </c>
      <c r="C19" s="316">
        <v>2</v>
      </c>
      <c r="D19" s="316">
        <v>4</v>
      </c>
      <c r="E19" s="316">
        <v>3</v>
      </c>
      <c r="F19" s="316">
        <v>4</v>
      </c>
      <c r="G19" s="316">
        <f>WholesaleLogicTable[[#This Row],[Differentiation / Origin Value]]</f>
        <v>2</v>
      </c>
      <c r="H19" s="318">
        <f>(C19*'Logic &amp; Weights'!$B$4 + (6-D19)*'Logic &amp; Weights'!$B$5 + E19*'Logic &amp; Weights'!$B$6 + (6-F19)*'Logic &amp; Weights'!$B$7 + G19*'Logic &amp; Weights'!$B$8)/5</f>
        <v>0.45</v>
      </c>
      <c r="I19" s="319">
        <f>ROUND(('Logic &amp; Weights'!$B$9 + H19*('Logic &amp; Weights'!$B$10-'Logic &amp; Weights'!$B$9))*100,0)/100</f>
        <v>0.79</v>
      </c>
      <c r="J19" s="316" t="str">
        <f t="shared" si="0"/>
        <v>Mid Premium 75-82%</v>
      </c>
      <c r="K19" s="316" t="str">
        <f t="shared" si="1"/>
        <v>Base 70% + Weighted Score × 20%. Higher premium score = wholesale closer to retail. Comparability and elasticity are reverse-scored.</v>
      </c>
    </row>
    <row r="20" spans="1:11" ht="45">
      <c r="A20" s="316" t="s">
        <v>228</v>
      </c>
      <c r="B20" s="316" t="s">
        <v>471</v>
      </c>
      <c r="C20" s="316">
        <v>2</v>
      </c>
      <c r="D20" s="316">
        <v>4</v>
      </c>
      <c r="E20" s="316">
        <v>3</v>
      </c>
      <c r="F20" s="316">
        <v>4</v>
      </c>
      <c r="G20" s="316">
        <f>WholesaleLogicTable[[#This Row],[Differentiation / Origin Value]]</f>
        <v>2</v>
      </c>
      <c r="H20" s="318">
        <f>(C20*'Logic &amp; Weights'!$B$4 + (6-D20)*'Logic &amp; Weights'!$B$5 + E20*'Logic &amp; Weights'!$B$6 + (6-F20)*'Logic &amp; Weights'!$B$7 + G20*'Logic &amp; Weights'!$B$8)/5</f>
        <v>0.45</v>
      </c>
      <c r="I20" s="319">
        <f>ROUND(('Logic &amp; Weights'!$B$9 + H20*('Logic &amp; Weights'!$B$10-'Logic &amp; Weights'!$B$9))*100,0)/100</f>
        <v>0.79</v>
      </c>
      <c r="J20" s="316" t="str">
        <f t="shared" si="0"/>
        <v>Mid Premium 75-82%</v>
      </c>
      <c r="K20" s="316" t="str">
        <f t="shared" si="1"/>
        <v>Base 70% + Weighted Score × 20%. Higher premium score = wholesale closer to retail. Comparability and elasticity are reverse-scored.</v>
      </c>
    </row>
    <row r="21" spans="1:11" ht="45">
      <c r="A21" s="316" t="s">
        <v>179</v>
      </c>
      <c r="B21" s="316" t="s">
        <v>467</v>
      </c>
      <c r="C21" s="316">
        <v>3</v>
      </c>
      <c r="D21" s="316">
        <v>3</v>
      </c>
      <c r="E21" s="316">
        <v>3</v>
      </c>
      <c r="F21" s="316">
        <v>2</v>
      </c>
      <c r="G21" s="316">
        <v>3</v>
      </c>
      <c r="H21" s="318">
        <f>(C21*'Logic &amp; Weights'!$B$4 + (6-D21)*'Logic &amp; Weights'!$B$5 + E21*'Logic &amp; Weights'!$B$6 + (6-F21)*'Logic &amp; Weights'!$B$7 + G21*'Logic &amp; Weights'!$B$8)/5</f>
        <v>0.63000000000000012</v>
      </c>
      <c r="I21" s="319">
        <f>ROUND(('Logic &amp; Weights'!$B$9 + H21*('Logic &amp; Weights'!$B$10-'Logic &amp; Weights'!$B$9))*100,0)/100</f>
        <v>0.83</v>
      </c>
      <c r="J21" s="316" t="str">
        <f t="shared" si="0"/>
        <v>Premium 82-88%</v>
      </c>
      <c r="K21" s="316" t="str">
        <f t="shared" si="1"/>
        <v>Base 70% + Weighted Score × 20%. Higher premium score = wholesale closer to retail. Comparability and elasticity are reverse-scored.</v>
      </c>
    </row>
    <row r="22" spans="1:11" ht="45">
      <c r="A22" s="316" t="s">
        <v>181</v>
      </c>
      <c r="B22" s="316" t="s">
        <v>467</v>
      </c>
      <c r="C22" s="316">
        <v>3</v>
      </c>
      <c r="D22" s="316">
        <v>3</v>
      </c>
      <c r="E22" s="316">
        <v>3</v>
      </c>
      <c r="F22" s="316">
        <v>2</v>
      </c>
      <c r="G22" s="316">
        <f>WholesaleLogicTable[[#This Row],[Differentiation / Origin Value]]</f>
        <v>3</v>
      </c>
      <c r="H22" s="318">
        <f>(C22*'Logic &amp; Weights'!$B$4 + (6-D22)*'Logic &amp; Weights'!$B$5 + E22*'Logic &amp; Weights'!$B$6 + (6-F22)*'Logic &amp; Weights'!$B$7 + G22*'Logic &amp; Weights'!$B$8)/5</f>
        <v>0.63000000000000012</v>
      </c>
      <c r="I22" s="319">
        <f>ROUND(('Logic &amp; Weights'!$B$9 + H22*('Logic &amp; Weights'!$B$10-'Logic &amp; Weights'!$B$9))*100,0)/100</f>
        <v>0.83</v>
      </c>
      <c r="J22" s="316" t="str">
        <f t="shared" si="0"/>
        <v>Premium 82-88%</v>
      </c>
      <c r="K22" s="316" t="str">
        <f t="shared" si="1"/>
        <v>Base 70% + Weighted Score × 20%. Higher premium score = wholesale closer to retail. Comparability and elasticity are reverse-scored.</v>
      </c>
    </row>
    <row r="23" spans="1:11" ht="45">
      <c r="A23" s="316" t="s">
        <v>183</v>
      </c>
      <c r="B23" s="316" t="s">
        <v>467</v>
      </c>
      <c r="C23" s="316">
        <v>3</v>
      </c>
      <c r="D23" s="316">
        <v>3</v>
      </c>
      <c r="E23" s="316">
        <v>3</v>
      </c>
      <c r="F23" s="316">
        <v>2</v>
      </c>
      <c r="G23" s="316">
        <f>WholesaleLogicTable[[#This Row],[Differentiation / Origin Value]]</f>
        <v>3</v>
      </c>
      <c r="H23" s="318">
        <f>(C23*'Logic &amp; Weights'!$B$4 + (6-D23)*'Logic &amp; Weights'!$B$5 + E23*'Logic &amp; Weights'!$B$6 + (6-F23)*'Logic &amp; Weights'!$B$7 + G23*'Logic &amp; Weights'!$B$8)/5</f>
        <v>0.63000000000000012</v>
      </c>
      <c r="I23" s="319">
        <f>ROUND(('Logic &amp; Weights'!$B$9 + H23*('Logic &amp; Weights'!$B$10-'Logic &amp; Weights'!$B$9))*100,0)/100</f>
        <v>0.83</v>
      </c>
      <c r="J23" s="316" t="str">
        <f t="shared" si="0"/>
        <v>Premium 82-88%</v>
      </c>
      <c r="K23" s="316" t="str">
        <f t="shared" si="1"/>
        <v>Base 70% + Weighted Score × 20%. Higher premium score = wholesale closer to retail. Comparability and elasticity are reverse-scored.</v>
      </c>
    </row>
    <row r="24" spans="1:11" ht="45">
      <c r="A24" s="316" t="s">
        <v>185</v>
      </c>
      <c r="B24" s="316" t="s">
        <v>465</v>
      </c>
      <c r="C24" s="316">
        <v>3</v>
      </c>
      <c r="D24" s="316">
        <v>3</v>
      </c>
      <c r="E24" s="316">
        <v>3</v>
      </c>
      <c r="F24" s="316">
        <v>3</v>
      </c>
      <c r="G24" s="316">
        <f>WholesaleLogicTable[[#This Row],[Differentiation / Origin Value]]</f>
        <v>3</v>
      </c>
      <c r="H24" s="318">
        <f>(C24*'Logic &amp; Weights'!$B$4 + (6-D24)*'Logic &amp; Weights'!$B$5 + E24*'Logic &amp; Weights'!$B$6 + (6-F24)*'Logic &amp; Weights'!$B$7 + G24*'Logic &amp; Weights'!$B$8)/5</f>
        <v>0.6</v>
      </c>
      <c r="I24" s="319">
        <f>ROUND(('Logic &amp; Weights'!$B$9 + H24*('Logic &amp; Weights'!$B$10-'Logic &amp; Weights'!$B$9))*100,0)/100</f>
        <v>0.82</v>
      </c>
      <c r="J24" s="316" t="str">
        <f t="shared" si="0"/>
        <v>Mid Premium 75-82%</v>
      </c>
      <c r="K24" s="316" t="str">
        <f t="shared" si="1"/>
        <v>Base 70% + Weighted Score × 20%. Higher premium score = wholesale closer to retail. Comparability and elasticity are reverse-scored.</v>
      </c>
    </row>
    <row r="25" spans="1:11" ht="45">
      <c r="A25" s="316" t="s">
        <v>187</v>
      </c>
      <c r="B25" s="316" t="s">
        <v>467</v>
      </c>
      <c r="C25" s="316">
        <v>4</v>
      </c>
      <c r="D25" s="316">
        <v>5</v>
      </c>
      <c r="E25" s="316">
        <v>1</v>
      </c>
      <c r="F25" s="316">
        <v>5</v>
      </c>
      <c r="G25" s="316">
        <f>WholesaleLogicTable[[#This Row],[Differentiation / Origin Value]]</f>
        <v>4</v>
      </c>
      <c r="H25" s="318">
        <f>(C25*'Logic &amp; Weights'!$B$4 + (6-D25)*'Logic &amp; Weights'!$B$5 + E25*'Logic &amp; Weights'!$B$6 + (6-F25)*'Logic &amp; Weights'!$B$7 + G25*'Logic &amp; Weights'!$B$8)/5</f>
        <v>0.43999999999999995</v>
      </c>
      <c r="I25" s="319">
        <f>ROUND(('Logic &amp; Weights'!$B$9 + H25*('Logic &amp; Weights'!$B$10-'Logic &amp; Weights'!$B$9))*100,0)/100</f>
        <v>0.79</v>
      </c>
      <c r="J25" s="316" t="str">
        <f t="shared" si="0"/>
        <v>Mid Premium 75-82%</v>
      </c>
      <c r="K25" s="316" t="str">
        <f t="shared" si="1"/>
        <v>Base 70% + Weighted Score × 20%. Higher premium score = wholesale closer to retail. Comparability and elasticity are reverse-scored.</v>
      </c>
    </row>
    <row r="26" spans="1:11" ht="45">
      <c r="A26" s="316" t="s">
        <v>189</v>
      </c>
      <c r="B26" s="316" t="s">
        <v>472</v>
      </c>
      <c r="C26" s="316">
        <v>5</v>
      </c>
      <c r="D26" s="316">
        <v>2</v>
      </c>
      <c r="E26" s="316">
        <v>1</v>
      </c>
      <c r="F26" s="316">
        <v>4</v>
      </c>
      <c r="G26" s="316">
        <f>WholesaleLogicTable[[#This Row],[Differentiation / Origin Value]]</f>
        <v>5</v>
      </c>
      <c r="H26" s="318">
        <f>(C26*'Logic &amp; Weights'!$B$4 + (6-D26)*'Logic &amp; Weights'!$B$5 + E26*'Logic &amp; Weights'!$B$6 + (6-F26)*'Logic &amp; Weights'!$B$7 + G26*'Logic &amp; Weights'!$B$8)/5</f>
        <v>0.66999999999999993</v>
      </c>
      <c r="I26" s="319">
        <f>ROUND(('Logic &amp; Weights'!$B$9 + H26*('Logic &amp; Weights'!$B$10-'Logic &amp; Weights'!$B$9))*100,0)/100</f>
        <v>0.83</v>
      </c>
      <c r="J26" s="316" t="str">
        <f t="shared" si="0"/>
        <v>Premium 82-88%</v>
      </c>
      <c r="K26" s="316" t="str">
        <f t="shared" si="1"/>
        <v>Base 70% + Weighted Score × 20%. Higher premium score = wholesale closer to retail. Comparability and elasticity are reverse-scored.</v>
      </c>
    </row>
    <row r="27" spans="1:11" ht="45">
      <c r="A27" s="316" t="s">
        <v>19</v>
      </c>
      <c r="B27" s="316" t="s">
        <v>469</v>
      </c>
      <c r="C27" s="316">
        <v>2</v>
      </c>
      <c r="D27" s="316">
        <v>2</v>
      </c>
      <c r="E27" s="316">
        <v>3</v>
      </c>
      <c r="F27" s="316">
        <v>2</v>
      </c>
      <c r="G27" s="316">
        <f>WholesaleLogicTable[[#This Row],[Differentiation / Origin Value]]</f>
        <v>2</v>
      </c>
      <c r="H27" s="318">
        <f>(C27*'Logic &amp; Weights'!$B$4 + (6-D27)*'Logic &amp; Weights'!$B$5 + E27*'Logic &amp; Weights'!$B$6 + (6-F27)*'Logic &amp; Weights'!$B$7 + G27*'Logic &amp; Weights'!$B$8)/5</f>
        <v>0.59000000000000008</v>
      </c>
      <c r="I27" s="319">
        <f>ROUND(('Logic &amp; Weights'!$B$9 + H27*('Logic &amp; Weights'!$B$10-'Logic &amp; Weights'!$B$9))*100,0)/100</f>
        <v>0.82</v>
      </c>
      <c r="J27" s="316" t="str">
        <f t="shared" si="0"/>
        <v>Mid Premium 75-82%</v>
      </c>
      <c r="K27" s="316" t="str">
        <f t="shared" si="1"/>
        <v>Base 70% + Weighted Score × 20%. Higher premium score = wholesale closer to retail. Comparability and elasticity are reverse-scored.</v>
      </c>
    </row>
    <row r="28" spans="1:11" ht="45">
      <c r="A28" s="316" t="s">
        <v>75</v>
      </c>
      <c r="B28" s="316" t="s">
        <v>454</v>
      </c>
      <c r="C28" s="316">
        <v>3</v>
      </c>
      <c r="D28" s="316">
        <v>3</v>
      </c>
      <c r="E28" s="316">
        <v>3</v>
      </c>
      <c r="F28" s="316">
        <v>4</v>
      </c>
      <c r="G28" s="316">
        <f>WholesaleLogicTable[[#This Row],[Differentiation / Origin Value]]</f>
        <v>3</v>
      </c>
      <c r="H28" s="318">
        <f>(C28*'Logic &amp; Weights'!$B$4 + (6-D28)*'Logic &amp; Weights'!$B$5 + E28*'Logic &amp; Weights'!$B$6 + (6-F28)*'Logic &amp; Weights'!$B$7 + G28*'Logic &amp; Weights'!$B$8)/5</f>
        <v>0.56999999999999995</v>
      </c>
      <c r="I28" s="319">
        <f>ROUND(('Logic &amp; Weights'!$B$9 + H28*('Logic &amp; Weights'!$B$10-'Logic &amp; Weights'!$B$9))*100,0)/100</f>
        <v>0.81</v>
      </c>
      <c r="J28" s="316" t="str">
        <f t="shared" si="0"/>
        <v>Mid Premium 75-82%</v>
      </c>
      <c r="K28" s="316" t="str">
        <f t="shared" si="1"/>
        <v>Base 70% + Weighted Score × 20%. Higher premium score = wholesale closer to retail. Comparability and elasticity are reverse-scored.</v>
      </c>
    </row>
    <row r="29" spans="1:11" ht="45">
      <c r="A29" s="316" t="s">
        <v>76</v>
      </c>
      <c r="B29" s="316" t="s">
        <v>454</v>
      </c>
      <c r="C29" s="316">
        <v>3</v>
      </c>
      <c r="D29" s="316">
        <v>3</v>
      </c>
      <c r="E29" s="316">
        <v>3</v>
      </c>
      <c r="F29" s="316">
        <v>3</v>
      </c>
      <c r="G29" s="316">
        <f>WholesaleLogicTable[[#This Row],[Differentiation / Origin Value]]</f>
        <v>3</v>
      </c>
      <c r="H29" s="318">
        <f>(C29*'Logic &amp; Weights'!$B$4 + (6-D29)*'Logic &amp; Weights'!$B$5 + E29*'Logic &amp; Weights'!$B$6 + (6-F29)*'Logic &amp; Weights'!$B$7 + G29*'Logic &amp; Weights'!$B$8)/5</f>
        <v>0.6</v>
      </c>
      <c r="I29" s="319">
        <f>ROUND(('Logic &amp; Weights'!$B$9 + H29*('Logic &amp; Weights'!$B$10-'Logic &amp; Weights'!$B$9))*100,0)/100</f>
        <v>0.82</v>
      </c>
      <c r="J29" s="316" t="str">
        <f t="shared" si="0"/>
        <v>Mid Premium 75-82%</v>
      </c>
      <c r="K29" s="316" t="str">
        <f t="shared" si="1"/>
        <v>Base 70% + Weighted Score × 20%. Higher premium score = wholesale closer to retail. Comparability and elasticity are reverse-scored.</v>
      </c>
    </row>
    <row r="30" spans="1:11" ht="45">
      <c r="A30" s="321" t="s">
        <v>452</v>
      </c>
      <c r="B30" s="316" t="s">
        <v>473</v>
      </c>
      <c r="C30" s="316">
        <v>5</v>
      </c>
      <c r="D30" s="316">
        <v>2</v>
      </c>
      <c r="E30" s="316">
        <v>4</v>
      </c>
      <c r="F30" s="316">
        <v>4</v>
      </c>
      <c r="G30" s="316">
        <f>WholesaleLogicTable[[#This Row],[Differentiation / Origin Value]]</f>
        <v>5</v>
      </c>
      <c r="H30" s="318">
        <f>(C30*'Logic &amp; Weights'!$B$4 + (6-D30)*'Logic &amp; Weights'!$B$5 + E30*'Logic &amp; Weights'!$B$6 + (6-F30)*'Logic &amp; Weights'!$B$7 + G30*'Logic &amp; Weights'!$B$8)/5</f>
        <v>0.82</v>
      </c>
      <c r="I30" s="319">
        <f>ROUND(('Logic &amp; Weights'!$B$9 + H30*('Logic &amp; Weights'!$B$10-'Logic &amp; Weights'!$B$9))*100,0)/100</f>
        <v>0.86</v>
      </c>
      <c r="J30" s="316" t="str">
        <f t="shared" si="0"/>
        <v>Premium 82-88%</v>
      </c>
      <c r="K30" s="316" t="str">
        <f t="shared" si="1"/>
        <v>Base 70% + Weighted Score × 20%. Higher premium score = wholesale closer to retail. Comparability and elasticity are reverse-scored.</v>
      </c>
    </row>
    <row r="31" spans="1:11" ht="45">
      <c r="A31" s="316" t="s">
        <v>195</v>
      </c>
      <c r="B31" s="316" t="s">
        <v>454</v>
      </c>
      <c r="C31" s="316">
        <v>3</v>
      </c>
      <c r="D31" s="316">
        <v>3</v>
      </c>
      <c r="E31" s="316">
        <v>3</v>
      </c>
      <c r="F31" s="316">
        <v>4</v>
      </c>
      <c r="G31" s="316">
        <f>WholesaleLogicTable[[#This Row],[Differentiation / Origin Value]]</f>
        <v>3</v>
      </c>
      <c r="H31" s="318">
        <f>(C31*'Logic &amp; Weights'!$B$4 + (6-D31)*'Logic &amp; Weights'!$B$5 + E31*'Logic &amp; Weights'!$B$6 + (6-F31)*'Logic &amp; Weights'!$B$7 + G31*'Logic &amp; Weights'!$B$8)/5</f>
        <v>0.56999999999999995</v>
      </c>
      <c r="I31" s="319">
        <f>ROUND(('Logic &amp; Weights'!$B$9 + H31*('Logic &amp; Weights'!$B$10-'Logic &amp; Weights'!$B$9))*100,0)/100</f>
        <v>0.81</v>
      </c>
      <c r="J31" s="316" t="str">
        <f t="shared" si="0"/>
        <v>Mid Premium 75-82%</v>
      </c>
      <c r="K31" s="316" t="str">
        <f t="shared" si="1"/>
        <v>Base 70% + Weighted Score × 20%. Higher premium score = wholesale closer to retail. Comparability and elasticity are reverse-scored.</v>
      </c>
    </row>
    <row r="32" spans="1:11" ht="45">
      <c r="A32" s="316" t="s">
        <v>197</v>
      </c>
      <c r="B32" s="316" t="s">
        <v>454</v>
      </c>
      <c r="C32" s="316">
        <v>5</v>
      </c>
      <c r="D32" s="316">
        <v>3</v>
      </c>
      <c r="E32" s="316">
        <v>4</v>
      </c>
      <c r="F32" s="316">
        <v>2</v>
      </c>
      <c r="G32" s="316">
        <f>WholesaleLogicTable[[#This Row],[Differentiation / Origin Value]]</f>
        <v>5</v>
      </c>
      <c r="H32" s="318">
        <f>(C32*'Logic &amp; Weights'!$B$4 + (6-D32)*'Logic &amp; Weights'!$B$5 + E32*'Logic &amp; Weights'!$B$6 + (6-F32)*'Logic &amp; Weights'!$B$7 + G32*'Logic &amp; Weights'!$B$8)/5</f>
        <v>0.84000000000000008</v>
      </c>
      <c r="I32" s="319">
        <f>ROUND(('Logic &amp; Weights'!$B$9 + H32*('Logic &amp; Weights'!$B$10-'Logic &amp; Weights'!$B$9))*100,0)/100</f>
        <v>0.87</v>
      </c>
      <c r="J32" s="316" t="str">
        <f t="shared" si="0"/>
        <v>Premium 82-88%</v>
      </c>
      <c r="K32" s="316" t="str">
        <f t="shared" si="1"/>
        <v>Base 70% + Weighted Score × 20%. Higher premium score = wholesale closer to retail. Comparability and elasticity are reverse-scored.</v>
      </c>
    </row>
    <row r="33" spans="1:11" ht="45">
      <c r="A33" s="316" t="s">
        <v>199</v>
      </c>
      <c r="B33" s="316" t="s">
        <v>473</v>
      </c>
      <c r="C33" s="316">
        <v>5</v>
      </c>
      <c r="D33" s="316">
        <v>3</v>
      </c>
      <c r="E33" s="316">
        <v>4</v>
      </c>
      <c r="F33" s="316">
        <v>3</v>
      </c>
      <c r="G33" s="316">
        <f>WholesaleLogicTable[[#This Row],[Differentiation / Origin Value]]</f>
        <v>5</v>
      </c>
      <c r="H33" s="318">
        <f>(C33*'Logic &amp; Weights'!$B$4 + (6-D33)*'Logic &amp; Weights'!$B$5 + E33*'Logic &amp; Weights'!$B$6 + (6-F33)*'Logic &amp; Weights'!$B$7 + G33*'Logic &amp; Weights'!$B$8)/5</f>
        <v>0.80999999999999994</v>
      </c>
      <c r="I33" s="319">
        <f>ROUND(('Logic &amp; Weights'!$B$9 + H33*('Logic &amp; Weights'!$B$10-'Logic &amp; Weights'!$B$9))*100,0)/100</f>
        <v>0.86</v>
      </c>
      <c r="J33" s="316" t="str">
        <f t="shared" si="0"/>
        <v>Premium 82-88%</v>
      </c>
      <c r="K33" s="316" t="str">
        <f t="shared" si="1"/>
        <v>Base 70% + Weighted Score × 20%. Higher premium score = wholesale closer to retail. Comparability and elasticity are reverse-scored.</v>
      </c>
    </row>
    <row r="34" spans="1:11" ht="45">
      <c r="A34" s="316" t="s">
        <v>6</v>
      </c>
      <c r="B34" s="316" t="s">
        <v>454</v>
      </c>
      <c r="C34" s="316">
        <v>3</v>
      </c>
      <c r="D34" s="316">
        <v>3</v>
      </c>
      <c r="E34" s="316">
        <v>3</v>
      </c>
      <c r="F34" s="316">
        <v>3</v>
      </c>
      <c r="G34" s="316">
        <f>WholesaleLogicTable[[#This Row],[Differentiation / Origin Value]]</f>
        <v>3</v>
      </c>
      <c r="H34" s="318">
        <f>(C34*'Logic &amp; Weights'!$B$4 + (6-D34)*'Logic &amp; Weights'!$B$5 + E34*'Logic &amp; Weights'!$B$6 + (6-F34)*'Logic &amp; Weights'!$B$7 + G34*'Logic &amp; Weights'!$B$8)/5</f>
        <v>0.6</v>
      </c>
      <c r="I34" s="319">
        <f>ROUND(('Logic &amp; Weights'!$B$9 + H34*('Logic &amp; Weights'!$B$10-'Logic &amp; Weights'!$B$9))*100,0)/100</f>
        <v>0.82</v>
      </c>
      <c r="J34" s="316" t="str">
        <f t="shared" si="0"/>
        <v>Mid Premium 75-82%</v>
      </c>
      <c r="K34" s="316" t="str">
        <f t="shared" si="1"/>
        <v>Base 70% + Weighted Score × 20%. Higher premium score = wholesale closer to retail. Comparability and elasticity are reverse-scored.</v>
      </c>
    </row>
    <row r="35" spans="1:11" ht="45">
      <c r="A35" s="316" t="s">
        <v>20</v>
      </c>
      <c r="B35" s="316" t="s">
        <v>454</v>
      </c>
      <c r="C35" s="316">
        <v>3</v>
      </c>
      <c r="D35" s="316">
        <v>3</v>
      </c>
      <c r="E35" s="316">
        <v>3</v>
      </c>
      <c r="F35" s="316">
        <v>3</v>
      </c>
      <c r="G35" s="316">
        <f>WholesaleLogicTable[[#This Row],[Differentiation / Origin Value]]</f>
        <v>3</v>
      </c>
      <c r="H35" s="318">
        <f>(C35*'Logic &amp; Weights'!$B$4 + (6-D35)*'Logic &amp; Weights'!$B$5 + E35*'Logic &amp; Weights'!$B$6 + (6-F35)*'Logic &amp; Weights'!$B$7 + G35*'Logic &amp; Weights'!$B$8)/5</f>
        <v>0.6</v>
      </c>
      <c r="I35" s="319">
        <f>ROUND(('Logic &amp; Weights'!$B$9 + H35*('Logic &amp; Weights'!$B$10-'Logic &amp; Weights'!$B$9))*100,0)/100</f>
        <v>0.82</v>
      </c>
      <c r="J35" s="316" t="str">
        <f t="shared" si="0"/>
        <v>Mid Premium 75-82%</v>
      </c>
      <c r="K35" s="316" t="str">
        <f t="shared" si="1"/>
        <v>Base 70% + Weighted Score × 20%. Higher premium score = wholesale closer to retail. Comparability and elasticity are reverse-scored.</v>
      </c>
    </row>
    <row r="36" spans="1:11" ht="45">
      <c r="A36" s="316" t="s">
        <v>7</v>
      </c>
      <c r="B36" s="316" t="s">
        <v>474</v>
      </c>
      <c r="C36" s="316">
        <v>5</v>
      </c>
      <c r="D36" s="316">
        <v>2</v>
      </c>
      <c r="E36" s="316">
        <v>5</v>
      </c>
      <c r="F36" s="316">
        <v>4</v>
      </c>
      <c r="G36" s="316">
        <f>WholesaleLogicTable[[#This Row],[Differentiation / Origin Value]]</f>
        <v>5</v>
      </c>
      <c r="H36" s="318">
        <f>(C36*'Logic &amp; Weights'!$B$4 + (6-D36)*'Logic &amp; Weights'!$B$5 + E36*'Logic &amp; Weights'!$B$6 + (6-F36)*'Logic &amp; Weights'!$B$7 + G36*'Logic &amp; Weights'!$B$8)/5</f>
        <v>0.86999999999999988</v>
      </c>
      <c r="I36" s="319">
        <f>ROUND(('Logic &amp; Weights'!$B$9 + H36*('Logic &amp; Weights'!$B$10-'Logic &amp; Weights'!$B$9))*100,0)/100</f>
        <v>0.87</v>
      </c>
      <c r="J36" s="316" t="str">
        <f t="shared" si="0"/>
        <v>Premium 82-88%</v>
      </c>
      <c r="K36" s="316" t="str">
        <f t="shared" si="1"/>
        <v>Base 70% + Weighted Score × 20%. Higher premium score = wholesale closer to retail. Comparability and elasticity are reverse-scored.</v>
      </c>
    </row>
    <row r="37" spans="1:11" ht="45">
      <c r="A37" s="316" t="s">
        <v>204</v>
      </c>
      <c r="B37" s="316" t="s">
        <v>475</v>
      </c>
      <c r="C37" s="316">
        <v>5</v>
      </c>
      <c r="D37" s="316">
        <v>2</v>
      </c>
      <c r="E37" s="316">
        <v>1</v>
      </c>
      <c r="F37" s="316">
        <v>1</v>
      </c>
      <c r="G37" s="316">
        <f>WholesaleLogicTable[[#This Row],[Differentiation / Origin Value]]</f>
        <v>5</v>
      </c>
      <c r="H37" s="318">
        <f>(C37*'Logic &amp; Weights'!$B$4 + (6-D37)*'Logic &amp; Weights'!$B$5 + E37*'Logic &amp; Weights'!$B$6 + (6-F37)*'Logic &amp; Weights'!$B$7 + G37*'Logic &amp; Weights'!$B$8)/5</f>
        <v>0.76</v>
      </c>
      <c r="I37" s="319">
        <f>ROUND(('Logic &amp; Weights'!$B$9 + H37*('Logic &amp; Weights'!$B$10-'Logic &amp; Weights'!$B$9))*100,0)/100</f>
        <v>0.85</v>
      </c>
      <c r="J37" s="316" t="str">
        <f t="shared" si="0"/>
        <v>Premium 82-88%</v>
      </c>
      <c r="K37" s="316" t="str">
        <f t="shared" si="1"/>
        <v>Base 70% + Weighted Score × 20%. Higher premium score = wholesale closer to retail. Comparability and elasticity are reverse-scored.</v>
      </c>
    </row>
    <row r="38" spans="1:11" ht="45">
      <c r="A38" s="316" t="s">
        <v>206</v>
      </c>
      <c r="B38" s="316" t="s">
        <v>476</v>
      </c>
      <c r="C38" s="316">
        <v>3</v>
      </c>
      <c r="D38" s="316">
        <v>3</v>
      </c>
      <c r="E38" s="316">
        <v>3</v>
      </c>
      <c r="F38" s="316">
        <v>4</v>
      </c>
      <c r="G38" s="316">
        <f>WholesaleLogicTable[[#This Row],[Differentiation / Origin Value]]</f>
        <v>3</v>
      </c>
      <c r="H38" s="318">
        <f>(C38*'Logic &amp; Weights'!$B$4 + (6-D38)*'Logic &amp; Weights'!$B$5 + E38*'Logic &amp; Weights'!$B$6 + (6-F38)*'Logic &amp; Weights'!$B$7 + G38*'Logic &amp; Weights'!$B$8)/5</f>
        <v>0.56999999999999995</v>
      </c>
      <c r="I38" s="319">
        <f>ROUND(('Logic &amp; Weights'!$B$9 + H38*('Logic &amp; Weights'!$B$10-'Logic &amp; Weights'!$B$9))*100,0)/100</f>
        <v>0.81</v>
      </c>
      <c r="J38" s="316" t="str">
        <f t="shared" si="0"/>
        <v>Mid Premium 75-82%</v>
      </c>
      <c r="K38" s="316" t="str">
        <f t="shared" si="1"/>
        <v>Base 70% + Weighted Score × 20%. Higher premium score = wholesale closer to retail. Comparability and elasticity are reverse-scored.</v>
      </c>
    </row>
    <row r="39" spans="1:11" ht="45">
      <c r="A39" s="316" t="s">
        <v>208</v>
      </c>
      <c r="B39" s="316" t="s">
        <v>476</v>
      </c>
      <c r="C39" s="316">
        <v>3</v>
      </c>
      <c r="D39" s="316">
        <v>3</v>
      </c>
      <c r="E39" s="316">
        <v>3</v>
      </c>
      <c r="F39" s="316">
        <v>4</v>
      </c>
      <c r="G39" s="316">
        <f>WholesaleLogicTable[[#This Row],[Differentiation / Origin Value]]</f>
        <v>3</v>
      </c>
      <c r="H39" s="318">
        <f>(C39*'Logic &amp; Weights'!$B$4 + (6-D39)*'Logic &amp; Weights'!$B$5 + E39*'Logic &amp; Weights'!$B$6 + (6-F39)*'Logic &amp; Weights'!$B$7 + G39*'Logic &amp; Weights'!$B$8)/5</f>
        <v>0.56999999999999995</v>
      </c>
      <c r="I39" s="319">
        <f>ROUND(('Logic &amp; Weights'!$B$9 + H39*('Logic &amp; Weights'!$B$10-'Logic &amp; Weights'!$B$9))*100,0)/100</f>
        <v>0.81</v>
      </c>
      <c r="J39" s="316" t="str">
        <f t="shared" si="0"/>
        <v>Mid Premium 75-82%</v>
      </c>
      <c r="K39" s="316" t="str">
        <f t="shared" si="1"/>
        <v>Base 70% + Weighted Score × 20%. Higher premium score = wholesale closer to retail. Comparability and elasticity are reverse-scored.</v>
      </c>
    </row>
    <row r="40" spans="1:11" ht="45">
      <c r="A40" s="316" t="s">
        <v>210</v>
      </c>
      <c r="B40" s="316" t="s">
        <v>476</v>
      </c>
      <c r="C40" s="316">
        <v>3</v>
      </c>
      <c r="D40" s="316">
        <v>3</v>
      </c>
      <c r="E40" s="316">
        <v>3</v>
      </c>
      <c r="F40" s="316">
        <v>4</v>
      </c>
      <c r="G40" s="316">
        <f>WholesaleLogicTable[[#This Row],[Differentiation / Origin Value]]</f>
        <v>3</v>
      </c>
      <c r="H40" s="318">
        <f>(C40*'Logic &amp; Weights'!$B$4 + (6-D40)*'Logic &amp; Weights'!$B$5 + E40*'Logic &amp; Weights'!$B$6 + (6-F40)*'Logic &amp; Weights'!$B$7 + G40*'Logic &amp; Weights'!$B$8)/5</f>
        <v>0.56999999999999995</v>
      </c>
      <c r="I40" s="319">
        <f>ROUND(('Logic &amp; Weights'!$B$9 + H40*('Logic &amp; Weights'!$B$10-'Logic &amp; Weights'!$B$9))*100,0)/100</f>
        <v>0.81</v>
      </c>
      <c r="J40" s="316" t="str">
        <f t="shared" si="0"/>
        <v>Mid Premium 75-82%</v>
      </c>
      <c r="K40" s="316" t="str">
        <f t="shared" si="1"/>
        <v>Base 70% + Weighted Score × 20%. Higher premium score = wholesale closer to retail. Comparability and elasticity are reverse-scored.</v>
      </c>
    </row>
    <row r="41" spans="1:11" ht="45">
      <c r="A41" s="316" t="s">
        <v>212</v>
      </c>
      <c r="B41" s="316" t="s">
        <v>476</v>
      </c>
      <c r="C41" s="316">
        <v>3</v>
      </c>
      <c r="D41" s="316">
        <v>3</v>
      </c>
      <c r="E41" s="316">
        <v>3</v>
      </c>
      <c r="F41" s="316">
        <v>3</v>
      </c>
      <c r="G41" s="316">
        <f>WholesaleLogicTable[[#This Row],[Differentiation / Origin Value]]</f>
        <v>3</v>
      </c>
      <c r="H41" s="318">
        <f>(C41*'Logic &amp; Weights'!$B$4 + (6-D41)*'Logic &amp; Weights'!$B$5 + E41*'Logic &amp; Weights'!$B$6 + (6-F41)*'Logic &amp; Weights'!$B$7 + G41*'Logic &amp; Weights'!$B$8)/5</f>
        <v>0.6</v>
      </c>
      <c r="I41" s="319">
        <f>ROUND(('Logic &amp; Weights'!$B$9 + H41*('Logic &amp; Weights'!$B$10-'Logic &amp; Weights'!$B$9))*100,0)/100</f>
        <v>0.82</v>
      </c>
      <c r="J41" s="316" t="str">
        <f t="shared" si="0"/>
        <v>Mid Premium 75-82%</v>
      </c>
      <c r="K41" s="316" t="str">
        <f t="shared" si="1"/>
        <v>Base 70% + Weighted Score × 20%. Higher premium score = wholesale closer to retail. Comparability and elasticity are reverse-scored.</v>
      </c>
    </row>
    <row r="42" spans="1:11" ht="45">
      <c r="A42" s="316" t="s">
        <v>214</v>
      </c>
      <c r="B42" s="316" t="s">
        <v>476</v>
      </c>
      <c r="C42" s="316">
        <v>3</v>
      </c>
      <c r="D42" s="316">
        <v>3</v>
      </c>
      <c r="E42" s="316">
        <v>3</v>
      </c>
      <c r="F42" s="316">
        <v>4</v>
      </c>
      <c r="G42" s="316">
        <f>WholesaleLogicTable[[#This Row],[Differentiation / Origin Value]]</f>
        <v>3</v>
      </c>
      <c r="H42" s="318">
        <f>(C42*'Logic &amp; Weights'!$B$4 + (6-D42)*'Logic &amp; Weights'!$B$5 + E42*'Logic &amp; Weights'!$B$6 + (6-F42)*'Logic &amp; Weights'!$B$7 + G42*'Logic &amp; Weights'!$B$8)/5</f>
        <v>0.56999999999999995</v>
      </c>
      <c r="I42" s="319">
        <f>ROUND(('Logic &amp; Weights'!$B$9 + H42*('Logic &amp; Weights'!$B$10-'Logic &amp; Weights'!$B$9))*100,0)/100</f>
        <v>0.81</v>
      </c>
      <c r="J42" s="316" t="str">
        <f t="shared" si="0"/>
        <v>Mid Premium 75-82%</v>
      </c>
      <c r="K42" s="316" t="str">
        <f t="shared" si="1"/>
        <v>Base 70% + Weighted Score × 20%. Higher premium score = wholesale closer to retail. Comparability and elasticity are reverse-scored.</v>
      </c>
    </row>
    <row r="43" spans="1:11" ht="45">
      <c r="A43" s="316" t="s">
        <v>18</v>
      </c>
      <c r="B43" s="316" t="s">
        <v>477</v>
      </c>
      <c r="C43" s="316">
        <v>5</v>
      </c>
      <c r="D43" s="316">
        <v>2</v>
      </c>
      <c r="E43" s="316">
        <v>5</v>
      </c>
      <c r="F43" s="316">
        <v>3</v>
      </c>
      <c r="G43" s="316">
        <f>WholesaleLogicTable[[#This Row],[Differentiation / Origin Value]]</f>
        <v>5</v>
      </c>
      <c r="H43" s="318">
        <f>(C43*'Logic &amp; Weights'!$B$4 + (6-D43)*'Logic &amp; Weights'!$B$5 + E43*'Logic &amp; Weights'!$B$6 + (6-F43)*'Logic &amp; Weights'!$B$7 + G43*'Logic &amp; Weights'!$B$8)/5</f>
        <v>0.9</v>
      </c>
      <c r="I43" s="319">
        <f>ROUND(('Logic &amp; Weights'!$B$9 + H43*('Logic &amp; Weights'!$B$10-'Logic &amp; Weights'!$B$9))*100,0)/100</f>
        <v>0.88</v>
      </c>
      <c r="J43" s="316" t="str">
        <f t="shared" si="0"/>
        <v>Premium 82-88%</v>
      </c>
      <c r="K43" s="316" t="str">
        <f t="shared" si="1"/>
        <v>Base 70% + Weighted Score × 20%. Higher premium score = wholesale closer to retail. Comparability and elasticity are reverse-scored.</v>
      </c>
    </row>
    <row r="44" spans="1:11" ht="45">
      <c r="A44" s="316" t="s">
        <v>217</v>
      </c>
      <c r="B44" s="316" t="s">
        <v>478</v>
      </c>
      <c r="C44" s="316">
        <v>2</v>
      </c>
      <c r="D44" s="316">
        <v>4</v>
      </c>
      <c r="E44" s="316">
        <v>1</v>
      </c>
      <c r="F44" s="316">
        <v>4</v>
      </c>
      <c r="G44" s="316">
        <f>WholesaleLogicTable[[#This Row],[Differentiation / Origin Value]]</f>
        <v>2</v>
      </c>
      <c r="H44" s="318">
        <f>(C44*'Logic &amp; Weights'!$B$4 + (6-D44)*'Logic &amp; Weights'!$B$5 + E44*'Logic &amp; Weights'!$B$6 + (6-F44)*'Logic &amp; Weights'!$B$7 + G44*'Logic &amp; Weights'!$B$8)/5</f>
        <v>0.35</v>
      </c>
      <c r="I44" s="319">
        <f>ROUND(('Logic &amp; Weights'!$B$9 + H44*('Logic &amp; Weights'!$B$10-'Logic &amp; Weights'!$B$9))*100,0)/100</f>
        <v>0.77</v>
      </c>
      <c r="J44" s="316" t="str">
        <f t="shared" si="0"/>
        <v>Mid Premium 75-82%</v>
      </c>
      <c r="K44" s="316" t="str">
        <f t="shared" si="1"/>
        <v>Base 70% + Weighted Score × 20%. Higher premium score = wholesale closer to retail. Comparability and elasticity are reverse-scored.</v>
      </c>
    </row>
  </sheetData>
  <mergeCells count="1">
    <mergeCell ref="M1:O1"/>
  </mergeCells>
  <conditionalFormatting sqref="I2:I4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44">
    <cfRule type="dataBar" priority="2">
      <dataBar>
        <cfvo type="min"/>
        <cfvo type="max"/>
        <color rgb="FF009B77"/>
      </dataBar>
    </cfRule>
  </conditionalFormatting>
  <conditionalFormatting sqref="H2:H44">
    <cfRule type="dataBar" priority="3">
      <dataBar>
        <cfvo type="min"/>
        <cfvo type="max"/>
        <color rgb="FF009B77"/>
      </dataBar>
      <extLst>
        <ext xmlns:x14="http://schemas.microsoft.com/office/spreadsheetml/2009/9/main" uri="{B025F937-C7B1-47D3-B67F-A62EFF666E3E}">
          <x14:id>{D24429A2-7C85-B04E-8570-A6A4031C1EB1}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429A2-7C85-B04E-8570-A6A4031C1EB1}">
            <x14:dataBar>
              <x14:cfvo type="min"/>
              <x14:cfvo type="max"/>
              <x14:negativeFillColor auto="1"/>
              <x14:axisColor auto="1"/>
            </x14:dataBar>
          </x14:cfRule>
          <xm:sqref>H2:H44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253F-87D7-4341-9909-142CFFBDE91A}">
  <dimension ref="A1:H21"/>
  <sheetViews>
    <sheetView zoomScale="182" workbookViewId="0">
      <selection activeCell="E7" sqref="E7"/>
    </sheetView>
  </sheetViews>
  <sheetFormatPr baseColWidth="10" defaultColWidth="8.83203125" defaultRowHeight="14"/>
  <cols>
    <col min="1" max="1" width="30" customWidth="1"/>
    <col min="2" max="2" width="16" customWidth="1"/>
    <col min="3" max="3" width="6" customWidth="1"/>
    <col min="4" max="4" width="12" customWidth="1"/>
    <col min="5" max="5" width="44" customWidth="1"/>
  </cols>
  <sheetData>
    <row r="1" spans="1:8" ht="21">
      <c r="A1" s="395" t="s">
        <v>483</v>
      </c>
      <c r="B1" s="395"/>
      <c r="C1" s="395"/>
      <c r="D1" s="395"/>
      <c r="E1" s="395"/>
      <c r="F1" s="395"/>
      <c r="G1" s="395"/>
      <c r="H1" s="395"/>
    </row>
    <row r="3" spans="1:8" ht="16">
      <c r="A3" s="315" t="s">
        <v>484</v>
      </c>
      <c r="B3" s="315" t="s">
        <v>485</v>
      </c>
      <c r="D3" s="315" t="s">
        <v>486</v>
      </c>
      <c r="E3" s="315" t="s">
        <v>487</v>
      </c>
    </row>
    <row r="4" spans="1:8">
      <c r="A4" t="s">
        <v>488</v>
      </c>
      <c r="B4">
        <v>0.3</v>
      </c>
      <c r="D4">
        <v>1</v>
      </c>
      <c r="E4" t="s">
        <v>489</v>
      </c>
    </row>
    <row r="5" spans="1:8">
      <c r="A5" t="s">
        <v>490</v>
      </c>
      <c r="B5">
        <v>0.2</v>
      </c>
      <c r="D5">
        <v>2</v>
      </c>
      <c r="E5" t="s">
        <v>491</v>
      </c>
    </row>
    <row r="6" spans="1:8">
      <c r="A6" t="s">
        <v>492</v>
      </c>
      <c r="B6">
        <v>0.25</v>
      </c>
      <c r="D6">
        <v>3</v>
      </c>
      <c r="E6" t="s">
        <v>493</v>
      </c>
    </row>
    <row r="7" spans="1:8">
      <c r="A7" t="s">
        <v>494</v>
      </c>
      <c r="B7">
        <v>0.15</v>
      </c>
      <c r="D7">
        <v>4</v>
      </c>
      <c r="E7" t="s">
        <v>495</v>
      </c>
    </row>
    <row r="8" spans="1:8">
      <c r="A8" t="s">
        <v>496</v>
      </c>
      <c r="B8">
        <v>0.1</v>
      </c>
      <c r="D8">
        <v>5</v>
      </c>
      <c r="E8" t="s">
        <v>497</v>
      </c>
    </row>
    <row r="9" spans="1:8">
      <c r="A9" t="s">
        <v>498</v>
      </c>
      <c r="B9">
        <v>0.7</v>
      </c>
    </row>
    <row r="10" spans="1:8">
      <c r="A10" t="s">
        <v>499</v>
      </c>
      <c r="B10">
        <v>0.9</v>
      </c>
    </row>
    <row r="11" spans="1:8" ht="32">
      <c r="A11" s="315" t="s">
        <v>462</v>
      </c>
      <c r="B11" s="315" t="s">
        <v>500</v>
      </c>
      <c r="C11" s="315" t="s">
        <v>501</v>
      </c>
    </row>
    <row r="12" spans="1:8" ht="255">
      <c r="A12" s="316" t="s">
        <v>502</v>
      </c>
      <c r="B12" s="316" t="s">
        <v>503</v>
      </c>
      <c r="C12" s="316" t="s">
        <v>504</v>
      </c>
    </row>
    <row r="13" spans="1:8" ht="165">
      <c r="A13" s="316" t="s">
        <v>505</v>
      </c>
      <c r="B13" s="316" t="s">
        <v>506</v>
      </c>
      <c r="C13" s="316" t="s">
        <v>507</v>
      </c>
    </row>
    <row r="14" spans="1:8" ht="240">
      <c r="A14" s="316" t="s">
        <v>508</v>
      </c>
      <c r="B14" s="316" t="s">
        <v>509</v>
      </c>
      <c r="C14" s="316" t="s">
        <v>510</v>
      </c>
    </row>
    <row r="15" spans="1:8" ht="225">
      <c r="A15" s="316" t="s">
        <v>511</v>
      </c>
      <c r="B15" s="316" t="s">
        <v>512</v>
      </c>
      <c r="C15" s="316" t="s">
        <v>513</v>
      </c>
    </row>
    <row r="16" spans="1:8" ht="225">
      <c r="A16" s="316" t="s">
        <v>514</v>
      </c>
      <c r="B16" s="316" t="s">
        <v>515</v>
      </c>
      <c r="C16" s="316" t="s">
        <v>516</v>
      </c>
    </row>
    <row r="18" spans="1:8" ht="16">
      <c r="A18" s="317" t="s">
        <v>517</v>
      </c>
      <c r="B18" s="317"/>
      <c r="C18" s="317"/>
      <c r="D18" s="317"/>
      <c r="E18" s="317"/>
      <c r="F18" s="317"/>
      <c r="G18" s="317"/>
      <c r="H18" s="317"/>
    </row>
    <row r="19" spans="1:8" ht="60">
      <c r="A19" s="316" t="s">
        <v>518</v>
      </c>
      <c r="B19" s="316"/>
      <c r="C19" s="316"/>
      <c r="D19" s="316"/>
      <c r="E19" s="316"/>
      <c r="F19" s="316"/>
      <c r="G19" s="316"/>
      <c r="H19" s="316"/>
    </row>
    <row r="20" spans="1:8" ht="75">
      <c r="A20" s="316" t="s">
        <v>519</v>
      </c>
      <c r="B20" s="316"/>
      <c r="C20" s="316"/>
      <c r="D20" s="316"/>
      <c r="E20" s="316"/>
      <c r="F20" s="316"/>
      <c r="G20" s="316"/>
      <c r="H20" s="316"/>
    </row>
    <row r="21" spans="1:8" ht="60">
      <c r="A21" s="316" t="s">
        <v>520</v>
      </c>
      <c r="B21" s="316"/>
      <c r="C21" s="316"/>
      <c r="D21" s="316"/>
      <c r="E21" s="316"/>
      <c r="F21" s="316"/>
      <c r="G21" s="316"/>
      <c r="H21" s="316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B8AA-E1BF-D34E-9986-3BB7D47793F7}">
  <dimension ref="A1:T173"/>
  <sheetViews>
    <sheetView zoomScale="9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baseColWidth="10" defaultRowHeight="14"/>
  <cols>
    <col min="1" max="1" width="15.83203125" customWidth="1"/>
    <col min="2" max="2" width="26" customWidth="1"/>
    <col min="3" max="20" width="15.83203125" customWidth="1"/>
  </cols>
  <sheetData>
    <row r="1" spans="1:20" ht="15" customHeight="1">
      <c r="A1" s="256"/>
      <c r="B1" s="257"/>
      <c r="C1" s="396" t="s">
        <v>436</v>
      </c>
      <c r="D1" s="397"/>
      <c r="E1" s="398"/>
      <c r="F1" s="396" t="s">
        <v>409</v>
      </c>
      <c r="G1" s="397"/>
      <c r="H1" s="398"/>
      <c r="I1" s="396" t="s">
        <v>408</v>
      </c>
      <c r="J1" s="397"/>
      <c r="K1" s="398"/>
      <c r="L1" s="396" t="s">
        <v>407</v>
      </c>
      <c r="M1" s="397"/>
      <c r="N1" s="398"/>
      <c r="O1" s="396" t="s">
        <v>406</v>
      </c>
      <c r="P1" s="397"/>
      <c r="Q1" s="398"/>
      <c r="R1" s="396" t="s">
        <v>411</v>
      </c>
      <c r="S1" s="397"/>
      <c r="T1" s="398"/>
    </row>
    <row r="2" spans="1:20" ht="15" customHeight="1">
      <c r="A2" s="258" t="s">
        <v>147</v>
      </c>
      <c r="B2" s="259" t="s">
        <v>148</v>
      </c>
      <c r="C2" s="246" t="s">
        <v>437</v>
      </c>
      <c r="D2" s="239" t="s">
        <v>405</v>
      </c>
      <c r="E2" s="247" t="s">
        <v>438</v>
      </c>
      <c r="F2" s="246" t="s">
        <v>437</v>
      </c>
      <c r="G2" s="239" t="s">
        <v>405</v>
      </c>
      <c r="H2" s="247" t="s">
        <v>438</v>
      </c>
      <c r="I2" s="246" t="s">
        <v>437</v>
      </c>
      <c r="J2" s="239" t="s">
        <v>405</v>
      </c>
      <c r="K2" s="247" t="s">
        <v>438</v>
      </c>
      <c r="L2" s="246" t="s">
        <v>437</v>
      </c>
      <c r="M2" s="239" t="s">
        <v>405</v>
      </c>
      <c r="N2" s="247" t="s">
        <v>438</v>
      </c>
      <c r="O2" s="246" t="s">
        <v>437</v>
      </c>
      <c r="P2" s="240" t="s">
        <v>405</v>
      </c>
      <c r="Q2" s="247" t="s">
        <v>438</v>
      </c>
      <c r="R2" s="246" t="s">
        <v>437</v>
      </c>
      <c r="S2" s="240" t="s">
        <v>405</v>
      </c>
      <c r="T2" s="247" t="s">
        <v>438</v>
      </c>
    </row>
    <row r="3" spans="1:20" ht="15" customHeight="1">
      <c r="A3" s="260">
        <v>1</v>
      </c>
      <c r="B3" s="261" t="s">
        <v>15</v>
      </c>
      <c r="C3" s="248">
        <v>2864.7302656410257</v>
      </c>
      <c r="D3" s="243">
        <v>4299</v>
      </c>
      <c r="E3" s="249">
        <f>D3-C3</f>
        <v>1434.2697343589743</v>
      </c>
      <c r="F3" s="248">
        <v>1448.9916328205127</v>
      </c>
      <c r="G3" s="243">
        <v>2579</v>
      </c>
      <c r="H3" s="249">
        <f>G3-F3</f>
        <v>1130.0083671794873</v>
      </c>
      <c r="I3" s="248">
        <v>334.24160682051286</v>
      </c>
      <c r="J3" s="243">
        <v>569</v>
      </c>
      <c r="K3" s="249">
        <f>J3-I3</f>
        <v>234.75839317948714</v>
      </c>
      <c r="L3" s="253">
        <v>182.09519282051281</v>
      </c>
      <c r="M3" s="243">
        <v>349</v>
      </c>
      <c r="N3" s="249">
        <f>M3-L3</f>
        <v>166.90480717948719</v>
      </c>
      <c r="O3" s="248">
        <v>112.34519282051284</v>
      </c>
      <c r="P3" s="243">
        <v>189</v>
      </c>
      <c r="Q3" s="249">
        <f>P3-O3</f>
        <v>76.654807179487165</v>
      </c>
      <c r="R3" s="253"/>
      <c r="S3" s="243"/>
      <c r="T3" s="249"/>
    </row>
    <row r="4" spans="1:20" ht="15" customHeight="1">
      <c r="A4" s="260">
        <f>+A3+1</f>
        <v>2</v>
      </c>
      <c r="B4" s="262" t="s">
        <v>35</v>
      </c>
      <c r="C4" s="248">
        <v>3359.7302656410257</v>
      </c>
      <c r="D4" s="243">
        <v>4999</v>
      </c>
      <c r="E4" s="249">
        <f t="shared" ref="E4:E50" si="0">D4-C4</f>
        <v>1639.2697343589743</v>
      </c>
      <c r="F4" s="248">
        <v>1696.4916328205127</v>
      </c>
      <c r="G4" s="243">
        <v>2999</v>
      </c>
      <c r="H4" s="249">
        <f t="shared" ref="H4:H37" si="1">G4-F4</f>
        <v>1302.5083671794873</v>
      </c>
      <c r="I4" s="248">
        <v>383.74160682051286</v>
      </c>
      <c r="J4" s="243">
        <v>659</v>
      </c>
      <c r="K4" s="249">
        <f t="shared" ref="K4:K39" si="2">J4-I4</f>
        <v>275.25839317948714</v>
      </c>
      <c r="L4" s="253">
        <v>206.84519282051281</v>
      </c>
      <c r="M4" s="243">
        <v>349</v>
      </c>
      <c r="N4" s="249">
        <f t="shared" ref="N4:N18" si="3">M4-L4</f>
        <v>142.15480717948719</v>
      </c>
      <c r="O4" s="248">
        <v>124.72019282051284</v>
      </c>
      <c r="P4" s="243">
        <v>189</v>
      </c>
      <c r="Q4" s="249">
        <f t="shared" ref="Q4:Q11" si="4">P4-O4</f>
        <v>64.279807179487165</v>
      </c>
      <c r="R4" s="253"/>
      <c r="S4" s="243"/>
      <c r="T4" s="249"/>
    </row>
    <row r="5" spans="1:20" ht="15" customHeight="1">
      <c r="A5" s="260">
        <f t="shared" ref="A5:A50" si="5">+A4+1</f>
        <v>3</v>
      </c>
      <c r="B5" s="262" t="s">
        <v>543</v>
      </c>
      <c r="C5" s="248">
        <v>396.6675312820513</v>
      </c>
      <c r="D5" s="243">
        <v>949</v>
      </c>
      <c r="E5" s="249">
        <f t="shared" si="0"/>
        <v>552.3324687179487</v>
      </c>
      <c r="F5" s="248">
        <v>194.22163282051281</v>
      </c>
      <c r="G5" s="243">
        <v>569</v>
      </c>
      <c r="H5" s="249">
        <f t="shared" si="1"/>
        <v>374.77836717948719</v>
      </c>
      <c r="I5" s="248">
        <v>83.287606820512821</v>
      </c>
      <c r="J5" s="243">
        <v>129</v>
      </c>
      <c r="K5" s="249">
        <f t="shared" si="2"/>
        <v>45.712393179487179</v>
      </c>
      <c r="L5" s="253">
        <v>65.960385641025638</v>
      </c>
      <c r="M5" s="243">
        <v>89</v>
      </c>
      <c r="N5" s="249">
        <f t="shared" si="3"/>
        <v>23.039614358974362</v>
      </c>
      <c r="O5" s="248">
        <v>49.606692820512819</v>
      </c>
      <c r="P5" s="243">
        <v>49</v>
      </c>
      <c r="Q5" s="249">
        <f t="shared" si="4"/>
        <v>-0.60669282051281925</v>
      </c>
      <c r="R5" s="253"/>
      <c r="S5" s="243"/>
      <c r="T5" s="249"/>
    </row>
    <row r="6" spans="1:20" ht="15" customHeight="1">
      <c r="A6" s="260">
        <f t="shared" si="5"/>
        <v>4</v>
      </c>
      <c r="B6" s="262" t="s">
        <v>1</v>
      </c>
      <c r="C6" s="248">
        <v>1379.7302656410257</v>
      </c>
      <c r="D6" s="243">
        <v>2099</v>
      </c>
      <c r="E6" s="249">
        <f t="shared" si="0"/>
        <v>719.26973435897435</v>
      </c>
      <c r="F6" s="248">
        <v>706.4916328205129</v>
      </c>
      <c r="G6" s="243">
        <v>1259</v>
      </c>
      <c r="H6" s="249">
        <f t="shared" si="1"/>
        <v>552.5083671794871</v>
      </c>
      <c r="I6" s="248">
        <v>185.7416068205128</v>
      </c>
      <c r="J6" s="243">
        <v>279</v>
      </c>
      <c r="K6" s="249">
        <f t="shared" si="2"/>
        <v>93.2583931794872</v>
      </c>
      <c r="L6" s="253">
        <v>107.84519282051282</v>
      </c>
      <c r="M6" s="243">
        <v>169</v>
      </c>
      <c r="N6" s="249">
        <f t="shared" si="3"/>
        <v>61.154807179487179</v>
      </c>
      <c r="O6" s="248">
        <v>75.220192820512821</v>
      </c>
      <c r="P6" s="243">
        <v>89</v>
      </c>
      <c r="Q6" s="249">
        <f t="shared" si="4"/>
        <v>13.779807179487179</v>
      </c>
      <c r="R6" s="253"/>
      <c r="S6" s="243"/>
      <c r="T6" s="249"/>
    </row>
    <row r="7" spans="1:20" ht="15" customHeight="1">
      <c r="A7" s="260">
        <f t="shared" si="5"/>
        <v>5</v>
      </c>
      <c r="B7" s="262" t="s">
        <v>158</v>
      </c>
      <c r="C7" s="248">
        <v>369.1675312820513</v>
      </c>
      <c r="D7" s="243">
        <v>699</v>
      </c>
      <c r="E7" s="249">
        <f t="shared" si="0"/>
        <v>329.8324687179487</v>
      </c>
      <c r="F7" s="248">
        <v>201.21026564102564</v>
      </c>
      <c r="G7" s="243">
        <v>419</v>
      </c>
      <c r="H7" s="249">
        <f t="shared" si="1"/>
        <v>217.78973435897436</v>
      </c>
      <c r="I7" s="248">
        <v>80.537606820512821</v>
      </c>
      <c r="J7" s="243">
        <v>109</v>
      </c>
      <c r="K7" s="249">
        <f t="shared" si="2"/>
        <v>28.462393179487179</v>
      </c>
      <c r="L7" s="253">
        <v>64.585385641025638</v>
      </c>
      <c r="M7" s="243">
        <v>79</v>
      </c>
      <c r="N7" s="249">
        <f t="shared" si="3"/>
        <v>14.414614358974362</v>
      </c>
      <c r="O7" s="248">
        <v>48.919192820512819</v>
      </c>
      <c r="P7" s="243">
        <v>49</v>
      </c>
      <c r="Q7" s="249">
        <f t="shared" si="4"/>
        <v>8.0807179487180747E-2</v>
      </c>
      <c r="R7" s="253"/>
      <c r="S7" s="243"/>
      <c r="T7" s="249"/>
    </row>
    <row r="8" spans="1:20" ht="15" customHeight="1">
      <c r="A8" s="260">
        <f t="shared" si="5"/>
        <v>6</v>
      </c>
      <c r="B8" s="262" t="s">
        <v>5</v>
      </c>
      <c r="C8" s="248">
        <v>1261.8908646153843</v>
      </c>
      <c r="D8" s="243">
        <v>1899</v>
      </c>
      <c r="E8" s="249">
        <f t="shared" si="0"/>
        <v>637.10913538461568</v>
      </c>
      <c r="F8" s="248">
        <v>647.57193230769212</v>
      </c>
      <c r="G8" s="243">
        <v>1139</v>
      </c>
      <c r="H8" s="249">
        <f t="shared" si="1"/>
        <v>491.42806769230788</v>
      </c>
      <c r="I8" s="248">
        <v>169.80994015384616</v>
      </c>
      <c r="J8" s="243">
        <v>259</v>
      </c>
      <c r="K8" s="249">
        <f t="shared" si="2"/>
        <v>89.190059846153844</v>
      </c>
      <c r="L8" s="253">
        <v>109.22155230769231</v>
      </c>
      <c r="M8" s="243">
        <v>149</v>
      </c>
      <c r="N8" s="249">
        <f t="shared" si="3"/>
        <v>39.778447692307694</v>
      </c>
      <c r="O8" s="248">
        <v>71.237276153846153</v>
      </c>
      <c r="P8" s="243">
        <v>89</v>
      </c>
      <c r="Q8" s="249">
        <f t="shared" si="4"/>
        <v>17.762723846153847</v>
      </c>
      <c r="R8" s="253"/>
      <c r="S8" s="243"/>
      <c r="T8" s="249"/>
    </row>
    <row r="9" spans="1:20" ht="15" customHeight="1">
      <c r="A9" s="260">
        <f t="shared" si="5"/>
        <v>7</v>
      </c>
      <c r="B9" s="262" t="s">
        <v>161</v>
      </c>
      <c r="C9" s="248">
        <v>827.38353128205131</v>
      </c>
      <c r="D9" s="243">
        <v>989</v>
      </c>
      <c r="E9" s="249">
        <f t="shared" si="0"/>
        <v>161.61646871794869</v>
      </c>
      <c r="F9" s="248">
        <v>430.31826564102562</v>
      </c>
      <c r="G9" s="243">
        <v>599</v>
      </c>
      <c r="H9" s="249">
        <f t="shared" si="1"/>
        <v>168.68173435897438</v>
      </c>
      <c r="I9" s="248">
        <v>126.35920682051282</v>
      </c>
      <c r="J9" s="243">
        <v>199</v>
      </c>
      <c r="K9" s="249">
        <f t="shared" si="2"/>
        <v>72.640793179487176</v>
      </c>
      <c r="L9" s="253">
        <v>87.496185641025647</v>
      </c>
      <c r="M9" s="243">
        <v>119</v>
      </c>
      <c r="N9" s="249">
        <f t="shared" si="3"/>
        <v>31.503814358974353</v>
      </c>
      <c r="O9" s="248">
        <v>60.374592820512817</v>
      </c>
      <c r="P9" s="243">
        <v>79</v>
      </c>
      <c r="Q9" s="249">
        <f t="shared" si="4"/>
        <v>18.625407179487183</v>
      </c>
      <c r="R9" s="253"/>
      <c r="S9" s="243"/>
      <c r="T9" s="249"/>
    </row>
    <row r="10" spans="1:20" ht="15" customHeight="1">
      <c r="A10" s="260">
        <f t="shared" si="5"/>
        <v>8</v>
      </c>
      <c r="B10" s="262" t="s">
        <v>163</v>
      </c>
      <c r="C10" s="248">
        <v>783.38353128205131</v>
      </c>
      <c r="D10" s="243">
        <v>989</v>
      </c>
      <c r="E10" s="249">
        <f t="shared" si="0"/>
        <v>205.61646871794869</v>
      </c>
      <c r="F10" s="248">
        <v>408.31826564102562</v>
      </c>
      <c r="G10" s="243">
        <v>599</v>
      </c>
      <c r="H10" s="249">
        <f t="shared" si="1"/>
        <v>190.68173435897438</v>
      </c>
      <c r="I10" s="248">
        <v>121.95920682051283</v>
      </c>
      <c r="J10" s="243">
        <v>199</v>
      </c>
      <c r="K10" s="249">
        <f t="shared" si="2"/>
        <v>77.040793179487167</v>
      </c>
      <c r="L10" s="253">
        <v>85.296185641025644</v>
      </c>
      <c r="M10" s="243">
        <v>119</v>
      </c>
      <c r="N10" s="249">
        <f t="shared" si="3"/>
        <v>33.703814358974356</v>
      </c>
      <c r="O10" s="248">
        <v>59.274592820512822</v>
      </c>
      <c r="P10" s="243">
        <v>79</v>
      </c>
      <c r="Q10" s="249">
        <f t="shared" si="4"/>
        <v>19.725407179487178</v>
      </c>
      <c r="R10" s="253"/>
      <c r="S10" s="243"/>
      <c r="T10" s="249"/>
    </row>
    <row r="11" spans="1:20" ht="15" customHeight="1">
      <c r="A11" s="260">
        <f t="shared" si="5"/>
        <v>9</v>
      </c>
      <c r="B11" s="262" t="s">
        <v>0</v>
      </c>
      <c r="C11" s="248">
        <v>973.9916328205129</v>
      </c>
      <c r="D11" s="243">
        <v>1599</v>
      </c>
      <c r="E11" s="249">
        <f t="shared" si="0"/>
        <v>625.0083671794871</v>
      </c>
      <c r="F11" s="248">
        <v>509.46161282051281</v>
      </c>
      <c r="G11" s="243">
        <v>969</v>
      </c>
      <c r="H11" s="249">
        <f t="shared" si="1"/>
        <v>459.53838717948719</v>
      </c>
      <c r="I11" s="248">
        <v>134.59519282051284</v>
      </c>
      <c r="J11" s="243">
        <v>219</v>
      </c>
      <c r="K11" s="249">
        <f t="shared" si="2"/>
        <v>84.404807179487165</v>
      </c>
      <c r="L11" s="253">
        <v>88.595192820512821</v>
      </c>
      <c r="M11" s="243">
        <v>129</v>
      </c>
      <c r="N11" s="249">
        <f t="shared" si="3"/>
        <v>40.404807179487179</v>
      </c>
      <c r="O11" s="248">
        <v>65.595192820512821</v>
      </c>
      <c r="P11" s="243">
        <v>89</v>
      </c>
      <c r="Q11" s="249">
        <f t="shared" si="4"/>
        <v>23.404807179487179</v>
      </c>
      <c r="R11" s="253"/>
      <c r="S11" s="243"/>
      <c r="T11" s="249"/>
    </row>
    <row r="12" spans="1:20" ht="15" customHeight="1">
      <c r="A12" s="260">
        <f t="shared" si="5"/>
        <v>10</v>
      </c>
      <c r="B12" s="262" t="s">
        <v>2</v>
      </c>
      <c r="C12" s="248">
        <v>326.04026564102571</v>
      </c>
      <c r="D12" s="243">
        <v>389</v>
      </c>
      <c r="E12" s="249">
        <f t="shared" si="0"/>
        <v>62.959734358974288</v>
      </c>
      <c r="F12" s="248">
        <v>179.64663282051282</v>
      </c>
      <c r="G12" s="243">
        <v>239</v>
      </c>
      <c r="H12" s="249">
        <f t="shared" si="1"/>
        <v>59.353367179487179</v>
      </c>
      <c r="I12" s="248">
        <v>77.068385641025642</v>
      </c>
      <c r="J12" s="243">
        <v>59</v>
      </c>
      <c r="K12" s="249">
        <f t="shared" si="2"/>
        <v>-18.068385641025642</v>
      </c>
      <c r="L12" s="253">
        <v>55.160692820512821</v>
      </c>
      <c r="M12" s="243">
        <v>39</v>
      </c>
      <c r="N12" s="249">
        <f t="shared" si="3"/>
        <v>-16.160692820512821</v>
      </c>
      <c r="O12" s="248">
        <v>48.877942820512821</v>
      </c>
      <c r="P12" s="243" t="s">
        <v>410</v>
      </c>
      <c r="Q12" s="249"/>
      <c r="R12" s="253"/>
      <c r="S12" s="243"/>
      <c r="T12" s="249"/>
    </row>
    <row r="13" spans="1:20" ht="15" customHeight="1">
      <c r="A13" s="260">
        <f t="shared" si="5"/>
        <v>11</v>
      </c>
      <c r="B13" s="262" t="s">
        <v>3</v>
      </c>
      <c r="C13" s="248">
        <v>428.50163282051284</v>
      </c>
      <c r="D13" s="243">
        <v>659</v>
      </c>
      <c r="E13" s="249">
        <f t="shared" si="0"/>
        <v>230.49836717948716</v>
      </c>
      <c r="F13" s="248">
        <v>236.71661282051281</v>
      </c>
      <c r="G13" s="243">
        <v>389</v>
      </c>
      <c r="H13" s="249">
        <f t="shared" si="1"/>
        <v>152.28338717948719</v>
      </c>
      <c r="I13" s="248">
        <v>80.046192820512829</v>
      </c>
      <c r="J13" s="243">
        <v>89</v>
      </c>
      <c r="K13" s="249">
        <f t="shared" si="2"/>
        <v>8.9538071794871712</v>
      </c>
      <c r="L13" s="253">
        <v>61.320692820512825</v>
      </c>
      <c r="M13" s="243">
        <v>59</v>
      </c>
      <c r="N13" s="249">
        <f t="shared" si="3"/>
        <v>-2.320692820512825</v>
      </c>
      <c r="O13" s="248">
        <v>51.957942820512827</v>
      </c>
      <c r="P13" s="243" t="s">
        <v>410</v>
      </c>
      <c r="Q13" s="249"/>
      <c r="R13" s="253"/>
      <c r="S13" s="243"/>
      <c r="T13" s="249"/>
    </row>
    <row r="14" spans="1:20" ht="15" customHeight="1">
      <c r="A14" s="260">
        <f t="shared" si="5"/>
        <v>12</v>
      </c>
      <c r="B14" s="262" t="s">
        <v>41</v>
      </c>
      <c r="C14" s="248">
        <v>239.30163282051279</v>
      </c>
      <c r="D14" s="243">
        <v>289</v>
      </c>
      <c r="E14" s="249">
        <f t="shared" si="0"/>
        <v>49.698367179487207</v>
      </c>
      <c r="F14" s="248">
        <v>142.11661282051284</v>
      </c>
      <c r="G14" s="243">
        <v>169</v>
      </c>
      <c r="H14" s="249">
        <f t="shared" si="1"/>
        <v>26.883387179487158</v>
      </c>
      <c r="I14" s="248">
        <v>61.12619282051282</v>
      </c>
      <c r="J14" s="243">
        <v>49</v>
      </c>
      <c r="K14" s="249">
        <f t="shared" si="2"/>
        <v>-12.12619282051282</v>
      </c>
      <c r="L14" s="253" t="s">
        <v>410</v>
      </c>
      <c r="M14" s="243" t="s">
        <v>410</v>
      </c>
      <c r="N14" s="249"/>
      <c r="O14" s="248" t="s">
        <v>410</v>
      </c>
      <c r="P14" s="243" t="s">
        <v>410</v>
      </c>
      <c r="Q14" s="249"/>
      <c r="R14" s="253"/>
      <c r="S14" s="243"/>
      <c r="T14" s="249"/>
    </row>
    <row r="15" spans="1:20" ht="15" customHeight="1">
      <c r="A15" s="260">
        <f t="shared" si="5"/>
        <v>13</v>
      </c>
      <c r="B15" s="261" t="s">
        <v>16</v>
      </c>
      <c r="C15" s="248">
        <v>3170.3908646153845</v>
      </c>
      <c r="D15" s="243">
        <v>4299</v>
      </c>
      <c r="E15" s="249">
        <f t="shared" si="0"/>
        <v>1128.6091353846155</v>
      </c>
      <c r="F15" s="248">
        <v>1601.8219323076924</v>
      </c>
      <c r="G15" s="243">
        <v>2579</v>
      </c>
      <c r="H15" s="249">
        <f t="shared" si="1"/>
        <v>977.17806769230765</v>
      </c>
      <c r="I15" s="248">
        <v>360.65994015384615</v>
      </c>
      <c r="J15" s="243">
        <v>569</v>
      </c>
      <c r="K15" s="249">
        <f t="shared" si="2"/>
        <v>208.34005984615385</v>
      </c>
      <c r="L15" s="253">
        <v>204.64655230769233</v>
      </c>
      <c r="M15" s="243">
        <v>349</v>
      </c>
      <c r="N15" s="249">
        <f t="shared" si="3"/>
        <v>144.35344769230767</v>
      </c>
      <c r="O15" s="248">
        <v>118.94977615384617</v>
      </c>
      <c r="P15" s="243">
        <v>199</v>
      </c>
      <c r="Q15" s="249">
        <f t="shared" ref="Q15:Q17" si="6">P15-O15</f>
        <v>80.050223846153827</v>
      </c>
      <c r="R15" s="253"/>
      <c r="S15" s="243"/>
      <c r="T15" s="249"/>
    </row>
    <row r="16" spans="1:20" ht="15" customHeight="1">
      <c r="A16" s="260">
        <f t="shared" si="5"/>
        <v>14</v>
      </c>
      <c r="B16" s="261" t="s">
        <v>12</v>
      </c>
      <c r="C16" s="248">
        <v>1028.9916328205129</v>
      </c>
      <c r="D16" s="243">
        <v>1799</v>
      </c>
      <c r="E16" s="249">
        <f t="shared" si="0"/>
        <v>770.0083671794871</v>
      </c>
      <c r="F16" s="248">
        <v>536.96161282051276</v>
      </c>
      <c r="G16" s="243">
        <v>1089</v>
      </c>
      <c r="H16" s="249">
        <f t="shared" si="1"/>
        <v>552.03838717948724</v>
      </c>
      <c r="I16" s="248">
        <v>140.09519282051284</v>
      </c>
      <c r="J16" s="243">
        <v>239</v>
      </c>
      <c r="K16" s="249">
        <f t="shared" si="2"/>
        <v>98.904807179487165</v>
      </c>
      <c r="L16" s="253">
        <v>91.345192820512821</v>
      </c>
      <c r="M16" s="243">
        <v>149</v>
      </c>
      <c r="N16" s="249">
        <f t="shared" si="3"/>
        <v>57.654807179487179</v>
      </c>
      <c r="O16" s="248">
        <v>66.970192820512821</v>
      </c>
      <c r="P16" s="243">
        <v>89</v>
      </c>
      <c r="Q16" s="249">
        <f t="shared" si="6"/>
        <v>22.029807179487179</v>
      </c>
      <c r="R16" s="253"/>
      <c r="S16" s="243"/>
      <c r="T16" s="249"/>
    </row>
    <row r="17" spans="1:20" ht="15" customHeight="1">
      <c r="A17" s="260">
        <f t="shared" si="5"/>
        <v>15</v>
      </c>
      <c r="B17" s="261" t="s">
        <v>13</v>
      </c>
      <c r="C17" s="248">
        <v>875.1675312820513</v>
      </c>
      <c r="D17" s="243">
        <v>2099</v>
      </c>
      <c r="E17" s="249">
        <f t="shared" si="0"/>
        <v>1223.8324687179488</v>
      </c>
      <c r="F17" s="248">
        <v>454.21026564102567</v>
      </c>
      <c r="G17" s="243">
        <v>1259</v>
      </c>
      <c r="H17" s="249">
        <f t="shared" si="1"/>
        <v>804.78973435897433</v>
      </c>
      <c r="I17" s="248">
        <v>131.13760682051284</v>
      </c>
      <c r="J17" s="243">
        <v>279</v>
      </c>
      <c r="K17" s="249">
        <f t="shared" si="2"/>
        <v>147.86239317948716</v>
      </c>
      <c r="L17" s="253">
        <v>89.88538564102565</v>
      </c>
      <c r="M17" s="243">
        <v>169</v>
      </c>
      <c r="N17" s="249">
        <f t="shared" si="3"/>
        <v>79.11461435897435</v>
      </c>
      <c r="O17" s="248">
        <v>61.569192820512825</v>
      </c>
      <c r="P17" s="243">
        <v>89</v>
      </c>
      <c r="Q17" s="249">
        <f t="shared" si="6"/>
        <v>27.430807179487175</v>
      </c>
      <c r="R17" s="253"/>
      <c r="S17" s="243"/>
      <c r="T17" s="249"/>
    </row>
    <row r="18" spans="1:20" ht="15" customHeight="1">
      <c r="A18" s="260">
        <f t="shared" si="5"/>
        <v>16</v>
      </c>
      <c r="B18" s="262" t="s">
        <v>172</v>
      </c>
      <c r="C18" s="248">
        <v>1094.0275025641026</v>
      </c>
      <c r="D18" s="243">
        <v>1899</v>
      </c>
      <c r="E18" s="249">
        <f t="shared" si="0"/>
        <v>804.97249743589737</v>
      </c>
      <c r="F18" s="248">
        <v>570.21964256410263</v>
      </c>
      <c r="G18" s="243">
        <v>1139</v>
      </c>
      <c r="H18" s="249">
        <f t="shared" si="1"/>
        <v>568.78035743589737</v>
      </c>
      <c r="I18" s="248">
        <v>143.98196256410256</v>
      </c>
      <c r="J18" s="243">
        <v>259</v>
      </c>
      <c r="K18" s="249">
        <f t="shared" si="2"/>
        <v>115.01803743589744</v>
      </c>
      <c r="L18" s="253">
        <v>92</v>
      </c>
      <c r="M18" s="243">
        <v>159</v>
      </c>
      <c r="N18" s="249">
        <f t="shared" si="3"/>
        <v>67</v>
      </c>
      <c r="O18" s="248" t="s">
        <v>410</v>
      </c>
      <c r="P18" s="243"/>
      <c r="Q18" s="249"/>
      <c r="R18" s="253"/>
      <c r="S18" s="243"/>
      <c r="T18" s="249"/>
    </row>
    <row r="19" spans="1:20" ht="15" customHeight="1">
      <c r="A19" s="260">
        <f t="shared" si="5"/>
        <v>17</v>
      </c>
      <c r="B19" s="262" t="s">
        <v>174</v>
      </c>
      <c r="C19" s="248">
        <v>329.20830256410255</v>
      </c>
      <c r="D19" s="243">
        <v>429</v>
      </c>
      <c r="E19" s="249">
        <f t="shared" si="0"/>
        <v>99.791697435897447</v>
      </c>
      <c r="F19" s="248">
        <v>185.02760256410255</v>
      </c>
      <c r="G19" s="243">
        <v>259</v>
      </c>
      <c r="H19" s="249">
        <f t="shared" si="1"/>
        <v>73.972397435897449</v>
      </c>
      <c r="I19" s="248">
        <v>65.638002564102564</v>
      </c>
      <c r="J19" s="243">
        <v>69</v>
      </c>
      <c r="K19" s="249">
        <f t="shared" si="2"/>
        <v>3.361997435897436</v>
      </c>
      <c r="L19" s="253" t="s">
        <v>410</v>
      </c>
      <c r="M19" s="243" t="s">
        <v>410</v>
      </c>
      <c r="N19" s="249"/>
      <c r="O19" s="248" t="s">
        <v>410</v>
      </c>
      <c r="P19" s="243"/>
      <c r="Q19" s="249"/>
      <c r="R19" s="253"/>
      <c r="S19" s="243"/>
      <c r="T19" s="249"/>
    </row>
    <row r="20" spans="1:20" ht="15" customHeight="1">
      <c r="A20" s="260">
        <f t="shared" si="5"/>
        <v>18</v>
      </c>
      <c r="B20" s="262" t="s">
        <v>176</v>
      </c>
      <c r="C20" s="248">
        <v>469.20830256410255</v>
      </c>
      <c r="D20" s="243">
        <v>679</v>
      </c>
      <c r="E20" s="249">
        <f t="shared" si="0"/>
        <v>209.79169743589745</v>
      </c>
      <c r="F20" s="248">
        <v>255.02760256410255</v>
      </c>
      <c r="G20" s="243">
        <v>419</v>
      </c>
      <c r="H20" s="249">
        <f t="shared" si="1"/>
        <v>163.97239743589745</v>
      </c>
      <c r="I20" s="248">
        <v>79.638002564102564</v>
      </c>
      <c r="J20" s="243">
        <v>99</v>
      </c>
      <c r="K20" s="249">
        <f t="shared" si="2"/>
        <v>19.361997435897436</v>
      </c>
      <c r="L20" s="253" t="s">
        <v>410</v>
      </c>
      <c r="M20" s="243" t="s">
        <v>410</v>
      </c>
      <c r="N20" s="249"/>
      <c r="O20" s="248" t="s">
        <v>410</v>
      </c>
      <c r="P20" s="243"/>
      <c r="Q20" s="249"/>
      <c r="R20" s="253"/>
      <c r="S20" s="243"/>
      <c r="T20" s="249"/>
    </row>
    <row r="21" spans="1:20" ht="15" customHeight="1">
      <c r="A21" s="260">
        <f t="shared" si="5"/>
        <v>19</v>
      </c>
      <c r="B21" s="262" t="s">
        <v>228</v>
      </c>
      <c r="C21" s="248">
        <v>357.20830256410255</v>
      </c>
      <c r="D21" s="243">
        <v>479</v>
      </c>
      <c r="E21" s="249">
        <f t="shared" si="0"/>
        <v>121.79169743589745</v>
      </c>
      <c r="F21" s="248">
        <v>199.02760256410255</v>
      </c>
      <c r="G21" s="243">
        <v>289</v>
      </c>
      <c r="H21" s="249">
        <f t="shared" si="1"/>
        <v>89.972397435897449</v>
      </c>
      <c r="I21" s="248">
        <v>68.438002564102561</v>
      </c>
      <c r="J21" s="243">
        <v>79</v>
      </c>
      <c r="K21" s="249">
        <f t="shared" si="2"/>
        <v>10.561997435897439</v>
      </c>
      <c r="L21" s="253" t="s">
        <v>410</v>
      </c>
      <c r="M21" s="243" t="s">
        <v>410</v>
      </c>
      <c r="N21" s="249"/>
      <c r="O21" s="248" t="s">
        <v>410</v>
      </c>
      <c r="P21" s="243"/>
      <c r="Q21" s="249"/>
      <c r="R21" s="253"/>
      <c r="S21" s="243"/>
      <c r="T21" s="249"/>
    </row>
    <row r="22" spans="1:20" ht="15" customHeight="1">
      <c r="A22" s="260">
        <f t="shared" si="5"/>
        <v>20</v>
      </c>
      <c r="B22" s="262" t="s">
        <v>179</v>
      </c>
      <c r="C22" s="248">
        <v>402.16763282051284</v>
      </c>
      <c r="D22" s="243">
        <v>499</v>
      </c>
      <c r="E22" s="249">
        <f t="shared" si="0"/>
        <v>96.832367179487164</v>
      </c>
      <c r="F22" s="248">
        <v>223.54961282051283</v>
      </c>
      <c r="G22" s="243">
        <v>299</v>
      </c>
      <c r="H22" s="249">
        <f t="shared" si="1"/>
        <v>75.450387179487166</v>
      </c>
      <c r="I22" s="248">
        <v>76.205652820512825</v>
      </c>
      <c r="J22" s="243">
        <v>89</v>
      </c>
      <c r="K22" s="249">
        <f t="shared" si="2"/>
        <v>12.794347179487175</v>
      </c>
      <c r="L22" s="253" t="s">
        <v>410</v>
      </c>
      <c r="M22" s="243" t="s">
        <v>410</v>
      </c>
      <c r="N22" s="249"/>
      <c r="O22" s="248" t="s">
        <v>410</v>
      </c>
      <c r="P22" s="243"/>
      <c r="Q22" s="249"/>
      <c r="R22" s="253"/>
      <c r="S22" s="243"/>
      <c r="T22" s="249"/>
    </row>
    <row r="23" spans="1:20" ht="15" customHeight="1">
      <c r="A23" s="260">
        <f t="shared" si="5"/>
        <v>21</v>
      </c>
      <c r="B23" s="262" t="s">
        <v>181</v>
      </c>
      <c r="C23" s="248">
        <v>407.66763282051284</v>
      </c>
      <c r="D23" s="243">
        <v>499</v>
      </c>
      <c r="E23" s="249">
        <f t="shared" si="0"/>
        <v>91.332367179487164</v>
      </c>
      <c r="F23" s="248">
        <v>226.29961282051283</v>
      </c>
      <c r="G23" s="243">
        <v>299</v>
      </c>
      <c r="H23" s="249">
        <f t="shared" si="1"/>
        <v>72.700387179487166</v>
      </c>
      <c r="I23" s="248">
        <v>76.755652820512822</v>
      </c>
      <c r="J23" s="243">
        <v>89</v>
      </c>
      <c r="K23" s="249">
        <f t="shared" si="2"/>
        <v>12.244347179487178</v>
      </c>
      <c r="L23" s="253" t="s">
        <v>410</v>
      </c>
      <c r="M23" s="243" t="s">
        <v>410</v>
      </c>
      <c r="N23" s="249"/>
      <c r="O23" s="248" t="s">
        <v>410</v>
      </c>
      <c r="P23" s="243"/>
      <c r="Q23" s="249"/>
      <c r="R23" s="253"/>
      <c r="S23" s="243"/>
      <c r="T23" s="249"/>
    </row>
    <row r="24" spans="1:20" ht="15" customHeight="1">
      <c r="A24" s="260">
        <f t="shared" si="5"/>
        <v>22</v>
      </c>
      <c r="B24" s="262" t="s">
        <v>183</v>
      </c>
      <c r="C24" s="248">
        <v>402.16763282051284</v>
      </c>
      <c r="D24" s="243">
        <v>499</v>
      </c>
      <c r="E24" s="249">
        <f t="shared" si="0"/>
        <v>96.832367179487164</v>
      </c>
      <c r="F24" s="248">
        <v>223.54961282051283</v>
      </c>
      <c r="G24" s="243">
        <v>299</v>
      </c>
      <c r="H24" s="249">
        <f t="shared" si="1"/>
        <v>75.450387179487166</v>
      </c>
      <c r="I24" s="248">
        <v>76.205652820512825</v>
      </c>
      <c r="J24" s="243">
        <v>89</v>
      </c>
      <c r="K24" s="249">
        <f t="shared" si="2"/>
        <v>12.794347179487175</v>
      </c>
      <c r="L24" s="253" t="s">
        <v>410</v>
      </c>
      <c r="M24" s="243" t="s">
        <v>410</v>
      </c>
      <c r="N24" s="249"/>
      <c r="O24" s="248" t="s">
        <v>410</v>
      </c>
      <c r="P24" s="243"/>
      <c r="Q24" s="249"/>
      <c r="R24" s="253"/>
      <c r="S24" s="243"/>
      <c r="T24" s="249"/>
    </row>
    <row r="25" spans="1:20" ht="15" customHeight="1">
      <c r="A25" s="260">
        <f t="shared" si="5"/>
        <v>23</v>
      </c>
      <c r="B25" s="262" t="s">
        <v>185</v>
      </c>
      <c r="C25" s="248">
        <v>754.16763282051284</v>
      </c>
      <c r="D25" s="243">
        <v>799</v>
      </c>
      <c r="E25" s="249">
        <f t="shared" si="0"/>
        <v>44.832367179487164</v>
      </c>
      <c r="F25" s="248">
        <v>399.54961282051278</v>
      </c>
      <c r="G25" s="243">
        <v>479</v>
      </c>
      <c r="H25" s="249">
        <f t="shared" si="1"/>
        <v>79.450387179487223</v>
      </c>
      <c r="I25" s="248">
        <v>111.40565282051283</v>
      </c>
      <c r="J25" s="243">
        <v>109</v>
      </c>
      <c r="K25" s="249">
        <f t="shared" si="2"/>
        <v>-2.4056528205128274</v>
      </c>
      <c r="L25" s="253" t="s">
        <v>410</v>
      </c>
      <c r="M25" s="243" t="s">
        <v>410</v>
      </c>
      <c r="N25" s="249"/>
      <c r="O25" s="248" t="s">
        <v>410</v>
      </c>
      <c r="P25" s="243"/>
      <c r="Q25" s="249"/>
      <c r="R25" s="253"/>
      <c r="S25" s="243"/>
      <c r="T25" s="249"/>
    </row>
    <row r="26" spans="1:20" ht="15" customHeight="1">
      <c r="A26" s="260">
        <f t="shared" si="5"/>
        <v>24</v>
      </c>
      <c r="B26" s="262" t="s">
        <v>187</v>
      </c>
      <c r="C26" s="248">
        <v>334.34163282051281</v>
      </c>
      <c r="D26" s="243">
        <v>369</v>
      </c>
      <c r="E26" s="249">
        <f t="shared" si="0"/>
        <v>34.658367179487186</v>
      </c>
      <c r="F26" s="248">
        <v>189.63661282051282</v>
      </c>
      <c r="G26" s="243">
        <v>219</v>
      </c>
      <c r="H26" s="249">
        <f t="shared" si="1"/>
        <v>29.363387179487177</v>
      </c>
      <c r="I26" s="248">
        <v>69.423052820512822</v>
      </c>
      <c r="J26" s="243">
        <v>59</v>
      </c>
      <c r="K26" s="249">
        <f t="shared" si="2"/>
        <v>-10.423052820512822</v>
      </c>
      <c r="L26" s="253" t="s">
        <v>410</v>
      </c>
      <c r="M26" s="243" t="s">
        <v>410</v>
      </c>
      <c r="N26" s="249"/>
      <c r="O26" s="248" t="s">
        <v>410</v>
      </c>
      <c r="P26" s="243"/>
      <c r="Q26" s="249"/>
      <c r="R26" s="253"/>
      <c r="S26" s="243"/>
      <c r="T26" s="249"/>
    </row>
    <row r="27" spans="1:20" ht="15" customHeight="1">
      <c r="A27" s="260">
        <f t="shared" si="5"/>
        <v>25</v>
      </c>
      <c r="B27" s="262" t="s">
        <v>189</v>
      </c>
      <c r="C27" s="248">
        <v>585.19663282051283</v>
      </c>
      <c r="D27" s="243">
        <v>899</v>
      </c>
      <c r="E27" s="249">
        <f t="shared" si="0"/>
        <v>313.80336717948717</v>
      </c>
      <c r="F27" s="248">
        <v>315.06411282051283</v>
      </c>
      <c r="G27" s="243">
        <v>569</v>
      </c>
      <c r="H27" s="249">
        <f t="shared" si="1"/>
        <v>253.93588717948717</v>
      </c>
      <c r="I27" s="248">
        <v>94.508552820512818</v>
      </c>
      <c r="J27" s="243">
        <v>129</v>
      </c>
      <c r="K27" s="249">
        <f t="shared" si="2"/>
        <v>34.491447179487182</v>
      </c>
      <c r="L27" s="253" t="s">
        <v>410</v>
      </c>
      <c r="M27" s="243" t="s">
        <v>410</v>
      </c>
      <c r="N27" s="249"/>
      <c r="O27" s="248" t="s">
        <v>410</v>
      </c>
      <c r="P27" s="243"/>
      <c r="Q27" s="249"/>
      <c r="R27" s="253"/>
      <c r="S27" s="243"/>
      <c r="T27" s="249"/>
    </row>
    <row r="28" spans="1:20" ht="15" customHeight="1">
      <c r="A28" s="260">
        <f t="shared" si="5"/>
        <v>26</v>
      </c>
      <c r="B28" s="261" t="s">
        <v>19</v>
      </c>
      <c r="C28" s="248">
        <v>691.34025282051289</v>
      </c>
      <c r="D28" s="243">
        <v>1899</v>
      </c>
      <c r="E28" s="249">
        <f t="shared" si="0"/>
        <v>1207.6597471794871</v>
      </c>
      <c r="F28" s="248">
        <v>371.19660682051284</v>
      </c>
      <c r="G28" s="243">
        <v>1139</v>
      </c>
      <c r="H28" s="249">
        <f t="shared" si="1"/>
        <v>767.8033931794871</v>
      </c>
      <c r="I28" s="248">
        <v>107.17115882051282</v>
      </c>
      <c r="J28" s="243">
        <v>259</v>
      </c>
      <c r="K28" s="249">
        <f t="shared" si="2"/>
        <v>151.8288411794872</v>
      </c>
      <c r="L28" s="253">
        <v>75.575658820512814</v>
      </c>
      <c r="M28" s="243">
        <v>159</v>
      </c>
      <c r="N28" s="249">
        <f t="shared" ref="N28" si="7">M28-L28</f>
        <v>83.424341179487186</v>
      </c>
      <c r="O28" s="248" t="s">
        <v>410</v>
      </c>
      <c r="P28" s="243"/>
      <c r="Q28" s="249"/>
      <c r="R28" s="253"/>
      <c r="S28" s="243"/>
      <c r="T28" s="249"/>
    </row>
    <row r="29" spans="1:20" ht="15" customHeight="1">
      <c r="A29" s="260">
        <f t="shared" si="5"/>
        <v>27</v>
      </c>
      <c r="B29" s="261" t="s">
        <v>75</v>
      </c>
      <c r="C29" s="248">
        <v>390.52263589743592</v>
      </c>
      <c r="D29" s="243">
        <v>749</v>
      </c>
      <c r="E29" s="249">
        <f t="shared" si="0"/>
        <v>358.47736410256408</v>
      </c>
      <c r="F29" s="248">
        <v>215.68476923076923</v>
      </c>
      <c r="G29" s="243">
        <v>449</v>
      </c>
      <c r="H29" s="249">
        <f t="shared" si="1"/>
        <v>233.31523076923077</v>
      </c>
      <c r="I29" s="248">
        <v>71.769435897435912</v>
      </c>
      <c r="J29" s="243">
        <v>99</v>
      </c>
      <c r="K29" s="249">
        <f t="shared" si="2"/>
        <v>27.230564102564088</v>
      </c>
      <c r="L29" s="253" t="s">
        <v>410</v>
      </c>
      <c r="M29" s="243" t="s">
        <v>410</v>
      </c>
      <c r="N29" s="249"/>
      <c r="O29" s="248" t="s">
        <v>410</v>
      </c>
      <c r="P29" s="243"/>
      <c r="Q29" s="249"/>
      <c r="R29" s="253"/>
      <c r="S29" s="243"/>
      <c r="T29" s="249"/>
    </row>
    <row r="30" spans="1:20" ht="15" customHeight="1">
      <c r="A30" s="260">
        <f t="shared" si="5"/>
        <v>28</v>
      </c>
      <c r="B30" s="261" t="s">
        <v>76</v>
      </c>
      <c r="C30" s="248">
        <v>584.38858530219784</v>
      </c>
      <c r="D30" s="243">
        <v>749</v>
      </c>
      <c r="E30" s="249">
        <f t="shared" si="0"/>
        <v>164.61141469780216</v>
      </c>
      <c r="F30" s="248">
        <v>312.61774393315017</v>
      </c>
      <c r="G30" s="243">
        <v>449</v>
      </c>
      <c r="H30" s="249">
        <f t="shared" si="1"/>
        <v>136.38225606684983</v>
      </c>
      <c r="I30" s="248">
        <v>91.156030837912084</v>
      </c>
      <c r="J30" s="243">
        <v>99</v>
      </c>
      <c r="K30" s="249">
        <f t="shared" si="2"/>
        <v>7.8439691620879159</v>
      </c>
      <c r="L30" s="253" t="s">
        <v>410</v>
      </c>
      <c r="M30" s="243" t="s">
        <v>410</v>
      </c>
      <c r="N30" s="249"/>
      <c r="O30" s="248" t="s">
        <v>410</v>
      </c>
      <c r="P30" s="243"/>
      <c r="Q30" s="249"/>
      <c r="R30" s="253"/>
      <c r="S30" s="243"/>
      <c r="T30" s="249"/>
    </row>
    <row r="31" spans="1:20" ht="15" customHeight="1">
      <c r="A31" s="260">
        <f t="shared" si="5"/>
        <v>29</v>
      </c>
      <c r="B31" s="308" t="s">
        <v>452</v>
      </c>
      <c r="C31" s="248">
        <v>1155.9019591934211</v>
      </c>
      <c r="D31" s="243">
        <v>1299</v>
      </c>
      <c r="E31" s="249">
        <f t="shared" si="0"/>
        <v>143.09804080657887</v>
      </c>
      <c r="F31" s="248">
        <v>598.37443087876193</v>
      </c>
      <c r="G31" s="243">
        <v>819</v>
      </c>
      <c r="H31" s="249">
        <f t="shared" si="1"/>
        <v>220.62556912123807</v>
      </c>
      <c r="I31" s="248">
        <v>148.30736822703443</v>
      </c>
      <c r="J31" s="243">
        <v>159</v>
      </c>
      <c r="K31" s="249">
        <f t="shared" si="2"/>
        <v>10.692631772965569</v>
      </c>
      <c r="L31" s="253">
        <v>92.966435395568496</v>
      </c>
      <c r="M31" s="243">
        <v>99</v>
      </c>
      <c r="N31" s="249">
        <f t="shared" ref="N31" si="8">M31-L31</f>
        <v>6.0335646044315041</v>
      </c>
      <c r="O31" s="248" t="s">
        <v>410</v>
      </c>
      <c r="P31" s="243"/>
      <c r="Q31" s="249"/>
      <c r="R31" s="253"/>
      <c r="S31" s="243"/>
      <c r="T31" s="249"/>
    </row>
    <row r="32" spans="1:20" ht="15" customHeight="1">
      <c r="A32" s="260">
        <f t="shared" si="5"/>
        <v>30</v>
      </c>
      <c r="B32" s="261" t="s">
        <v>195</v>
      </c>
      <c r="C32" s="248">
        <v>366.042747008547</v>
      </c>
      <c r="D32" s="243">
        <v>749</v>
      </c>
      <c r="E32" s="249">
        <f t="shared" si="0"/>
        <v>382.957252991453</v>
      </c>
      <c r="F32" s="248">
        <v>203.44482478632477</v>
      </c>
      <c r="G32" s="243">
        <v>449</v>
      </c>
      <c r="H32" s="249">
        <f t="shared" si="1"/>
        <v>245.55517521367523</v>
      </c>
      <c r="I32" s="248">
        <v>69.321447008547011</v>
      </c>
      <c r="J32" s="243">
        <v>99</v>
      </c>
      <c r="K32" s="249">
        <f t="shared" si="2"/>
        <v>29.678552991452989</v>
      </c>
      <c r="L32" s="253" t="s">
        <v>410</v>
      </c>
      <c r="M32" s="243" t="s">
        <v>410</v>
      </c>
      <c r="N32" s="249"/>
      <c r="O32" s="248" t="s">
        <v>410</v>
      </c>
      <c r="P32" s="243"/>
      <c r="Q32" s="249"/>
      <c r="R32" s="253"/>
      <c r="S32" s="243"/>
      <c r="T32" s="249"/>
    </row>
    <row r="33" spans="1:20" ht="15" customHeight="1">
      <c r="A33" s="260">
        <f t="shared" si="5"/>
        <v>31</v>
      </c>
      <c r="B33" s="261" t="s">
        <v>197</v>
      </c>
      <c r="C33" s="248">
        <v>489.51046878868249</v>
      </c>
      <c r="D33" s="243">
        <v>749</v>
      </c>
      <c r="E33" s="249">
        <f t="shared" si="0"/>
        <v>259.48953121131751</v>
      </c>
      <c r="F33" s="248">
        <v>265.17868567639255</v>
      </c>
      <c r="G33" s="243">
        <v>449</v>
      </c>
      <c r="H33" s="249">
        <f t="shared" si="1"/>
        <v>183.82131432360745</v>
      </c>
      <c r="I33" s="248">
        <v>81.668219186560549</v>
      </c>
      <c r="J33" s="243">
        <v>99</v>
      </c>
      <c r="K33" s="249">
        <f t="shared" si="2"/>
        <v>17.331780813439451</v>
      </c>
      <c r="L33" s="253" t="s">
        <v>410</v>
      </c>
      <c r="M33" s="243" t="s">
        <v>410</v>
      </c>
      <c r="N33" s="249"/>
      <c r="O33" s="248" t="s">
        <v>410</v>
      </c>
      <c r="P33" s="243"/>
      <c r="Q33" s="249"/>
      <c r="R33" s="253"/>
      <c r="S33" s="243"/>
      <c r="T33" s="249"/>
    </row>
    <row r="34" spans="1:20" ht="15" customHeight="1">
      <c r="A34" s="260">
        <f t="shared" si="5"/>
        <v>32</v>
      </c>
      <c r="B34" s="261" t="s">
        <v>199</v>
      </c>
      <c r="C34" s="248">
        <v>1037.1703207046921</v>
      </c>
      <c r="D34" s="243">
        <v>1299</v>
      </c>
      <c r="E34" s="249">
        <f t="shared" si="0"/>
        <v>261.82967929530787</v>
      </c>
      <c r="F34" s="248">
        <v>539.00861163439731</v>
      </c>
      <c r="G34" s="243">
        <v>819</v>
      </c>
      <c r="H34" s="249">
        <f t="shared" si="1"/>
        <v>279.99138836560269</v>
      </c>
      <c r="I34" s="248">
        <v>136.43420437816152</v>
      </c>
      <c r="J34" s="243">
        <v>159</v>
      </c>
      <c r="K34" s="249">
        <f t="shared" si="2"/>
        <v>22.565795621838475</v>
      </c>
      <c r="L34" s="253">
        <v>87.029853471132043</v>
      </c>
      <c r="M34" s="243">
        <v>99</v>
      </c>
      <c r="N34" s="249">
        <f t="shared" ref="N34" si="9">M34-L34</f>
        <v>11.970146528867957</v>
      </c>
      <c r="O34" s="248" t="s">
        <v>410</v>
      </c>
      <c r="P34" s="243"/>
      <c r="Q34" s="249"/>
      <c r="R34" s="253"/>
      <c r="S34" s="243"/>
      <c r="T34" s="249"/>
    </row>
    <row r="35" spans="1:20" ht="15" customHeight="1">
      <c r="A35" s="260">
        <f t="shared" si="5"/>
        <v>33</v>
      </c>
      <c r="B35" s="261" t="s">
        <v>6</v>
      </c>
      <c r="C35" s="248">
        <v>681.69613442250966</v>
      </c>
      <c r="D35" s="243">
        <v>749</v>
      </c>
      <c r="E35" s="249">
        <f t="shared" si="0"/>
        <v>67.303865577490342</v>
      </c>
      <c r="F35" s="248">
        <v>361.27151849330608</v>
      </c>
      <c r="G35" s="243">
        <v>449</v>
      </c>
      <c r="H35" s="249">
        <f t="shared" si="1"/>
        <v>87.728481506693925</v>
      </c>
      <c r="I35" s="248">
        <v>100.88678574994329</v>
      </c>
      <c r="J35" s="243">
        <v>99</v>
      </c>
      <c r="K35" s="249">
        <f t="shared" si="2"/>
        <v>-1.8867857499432859</v>
      </c>
      <c r="L35" s="253" t="s">
        <v>410</v>
      </c>
      <c r="M35" s="243" t="s">
        <v>410</v>
      </c>
      <c r="N35" s="249"/>
      <c r="O35" s="248" t="s">
        <v>410</v>
      </c>
      <c r="P35" s="243"/>
      <c r="Q35" s="249"/>
      <c r="R35" s="253"/>
      <c r="S35" s="243"/>
      <c r="T35" s="249"/>
    </row>
    <row r="36" spans="1:20" ht="15" customHeight="1">
      <c r="A36" s="260">
        <f t="shared" si="5"/>
        <v>34</v>
      </c>
      <c r="B36" s="261" t="s">
        <v>20</v>
      </c>
      <c r="C36" s="248">
        <v>463.31481516914454</v>
      </c>
      <c r="D36" s="243">
        <v>749</v>
      </c>
      <c r="E36" s="249">
        <f t="shared" si="0"/>
        <v>285.68518483085546</v>
      </c>
      <c r="F36" s="248">
        <v>252.08085886662354</v>
      </c>
      <c r="G36" s="243">
        <v>449</v>
      </c>
      <c r="H36" s="249">
        <f t="shared" si="1"/>
        <v>196.91914113337646</v>
      </c>
      <c r="I36" s="248">
        <v>79.04865382460676</v>
      </c>
      <c r="J36" s="243">
        <v>99</v>
      </c>
      <c r="K36" s="249">
        <f t="shared" si="2"/>
        <v>19.95134617539324</v>
      </c>
      <c r="L36" s="253" t="s">
        <v>410</v>
      </c>
      <c r="M36" s="243" t="s">
        <v>410</v>
      </c>
      <c r="N36" s="249"/>
      <c r="O36" s="248" t="s">
        <v>410</v>
      </c>
      <c r="P36" s="243"/>
      <c r="Q36" s="249"/>
      <c r="R36" s="253"/>
      <c r="S36" s="243"/>
      <c r="T36" s="249"/>
    </row>
    <row r="37" spans="1:20" ht="15" customHeight="1">
      <c r="A37" s="260">
        <f t="shared" si="5"/>
        <v>35</v>
      </c>
      <c r="B37" s="261" t="s">
        <v>7</v>
      </c>
      <c r="C37" s="248">
        <v>1607.4601229524517</v>
      </c>
      <c r="D37" s="243">
        <v>1899</v>
      </c>
      <c r="E37" s="249">
        <f t="shared" si="0"/>
        <v>291.53987704754832</v>
      </c>
      <c r="F37" s="248">
        <v>824.1535127582772</v>
      </c>
      <c r="G37" s="243">
        <v>1139</v>
      </c>
      <c r="H37" s="249">
        <f t="shared" si="1"/>
        <v>314.8464872417228</v>
      </c>
      <c r="I37" s="248">
        <v>193.46318460293747</v>
      </c>
      <c r="J37" s="243">
        <v>259</v>
      </c>
      <c r="K37" s="249">
        <f t="shared" si="2"/>
        <v>65.536815397062526</v>
      </c>
      <c r="L37" s="253">
        <v>115.54434358352003</v>
      </c>
      <c r="M37" s="243">
        <v>159</v>
      </c>
      <c r="N37" s="249">
        <f t="shared" ref="N37" si="10">M37-L37</f>
        <v>43.455656416479968</v>
      </c>
      <c r="O37" s="248" t="s">
        <v>410</v>
      </c>
      <c r="P37" s="243"/>
      <c r="Q37" s="249"/>
      <c r="R37" s="253"/>
      <c r="S37" s="243"/>
      <c r="T37" s="249"/>
    </row>
    <row r="38" spans="1:20" ht="15" customHeight="1">
      <c r="A38" s="260">
        <f t="shared" si="5"/>
        <v>36</v>
      </c>
      <c r="B38" s="262" t="s">
        <v>204</v>
      </c>
      <c r="C38" s="248" t="s">
        <v>410</v>
      </c>
      <c r="D38" s="243" t="s">
        <v>410</v>
      </c>
      <c r="E38" s="249"/>
      <c r="F38" s="248" t="s">
        <v>410</v>
      </c>
      <c r="G38" s="243" t="s">
        <v>410</v>
      </c>
      <c r="H38" s="249"/>
      <c r="I38" s="248" t="s">
        <v>410</v>
      </c>
      <c r="J38" s="243" t="s">
        <v>410</v>
      </c>
      <c r="K38" s="249"/>
      <c r="L38" s="253" t="s">
        <v>410</v>
      </c>
      <c r="M38" s="243"/>
      <c r="N38" s="249"/>
      <c r="O38" s="248" t="s">
        <v>410</v>
      </c>
      <c r="P38" s="243"/>
      <c r="Q38" s="249"/>
      <c r="R38" s="253">
        <v>242.98180882051281</v>
      </c>
      <c r="S38" s="243">
        <v>409</v>
      </c>
      <c r="T38" s="249">
        <f>S38-R38</f>
        <v>166.01819117948719</v>
      </c>
    </row>
    <row r="39" spans="1:20" ht="15" customHeight="1">
      <c r="A39" s="260">
        <f t="shared" si="5"/>
        <v>37</v>
      </c>
      <c r="B39" s="261" t="s">
        <v>206</v>
      </c>
      <c r="C39" s="248">
        <v>357.26895098740562</v>
      </c>
      <c r="D39" s="243">
        <v>569</v>
      </c>
      <c r="E39" s="249">
        <f t="shared" si="0"/>
        <v>211.73104901259438</v>
      </c>
      <c r="F39" s="248">
        <v>201.84036677575406</v>
      </c>
      <c r="G39" s="243">
        <v>359</v>
      </c>
      <c r="H39" s="249">
        <f t="shared" ref="H39:H45" si="11">G39-F39</f>
        <v>157.15963322424594</v>
      </c>
      <c r="I39" s="248">
        <v>70.306107406432872</v>
      </c>
      <c r="J39" s="243">
        <v>79</v>
      </c>
      <c r="K39" s="249">
        <f t="shared" si="2"/>
        <v>8.6938925935671278</v>
      </c>
      <c r="L39" s="253" t="s">
        <v>410</v>
      </c>
      <c r="M39" s="243" t="s">
        <v>410</v>
      </c>
      <c r="N39" s="249"/>
      <c r="O39" s="248" t="s">
        <v>410</v>
      </c>
      <c r="P39" s="243"/>
      <c r="Q39" s="249"/>
      <c r="R39" s="253"/>
      <c r="S39" s="243"/>
      <c r="T39" s="249"/>
    </row>
    <row r="40" spans="1:20" ht="15" customHeight="1">
      <c r="A40" s="260">
        <f t="shared" si="5"/>
        <v>38</v>
      </c>
      <c r="B40" s="261" t="s">
        <v>208</v>
      </c>
      <c r="C40" s="248">
        <v>333.70590256410253</v>
      </c>
      <c r="D40" s="243">
        <v>569</v>
      </c>
      <c r="E40" s="249">
        <f t="shared" si="0"/>
        <v>235.29409743589747</v>
      </c>
      <c r="F40" s="248">
        <v>190.05884256410255</v>
      </c>
      <c r="G40" s="243">
        <v>359</v>
      </c>
      <c r="H40" s="249">
        <f t="shared" si="11"/>
        <v>168.94115743589745</v>
      </c>
      <c r="I40" s="248">
        <v>67.949802564102569</v>
      </c>
      <c r="J40" s="243">
        <v>79</v>
      </c>
      <c r="K40" s="249">
        <f t="shared" ref="K40:K45" si="12">J40-I40</f>
        <v>11.050197435897431</v>
      </c>
      <c r="L40" s="253" t="s">
        <v>410</v>
      </c>
      <c r="M40" s="243"/>
      <c r="N40" s="249"/>
      <c r="O40" s="248" t="s">
        <v>410</v>
      </c>
      <c r="P40" s="243"/>
      <c r="Q40" s="249"/>
      <c r="R40" s="253"/>
      <c r="S40" s="243"/>
      <c r="T40" s="249"/>
    </row>
    <row r="41" spans="1:20" ht="15" customHeight="1">
      <c r="A41" s="260">
        <f t="shared" si="5"/>
        <v>39</v>
      </c>
      <c r="B41" s="261" t="s">
        <v>210</v>
      </c>
      <c r="C41" s="248">
        <v>308.93691533532723</v>
      </c>
      <c r="D41" s="243">
        <v>569</v>
      </c>
      <c r="E41" s="249">
        <f t="shared" si="0"/>
        <v>260.06308466467277</v>
      </c>
      <c r="F41" s="248">
        <v>177.6743489497149</v>
      </c>
      <c r="G41" s="243">
        <v>359</v>
      </c>
      <c r="H41" s="249">
        <f t="shared" si="11"/>
        <v>181.3256510502851</v>
      </c>
      <c r="I41" s="248">
        <v>65.472903841225033</v>
      </c>
      <c r="J41" s="243">
        <v>79</v>
      </c>
      <c r="K41" s="249">
        <f t="shared" si="12"/>
        <v>13.527096158774967</v>
      </c>
      <c r="L41" s="253" t="s">
        <v>410</v>
      </c>
      <c r="M41" s="243"/>
      <c r="N41" s="249"/>
      <c r="O41" s="248" t="s">
        <v>410</v>
      </c>
      <c r="P41" s="243"/>
      <c r="Q41" s="249"/>
      <c r="R41" s="253"/>
      <c r="S41" s="243"/>
      <c r="T41" s="249"/>
    </row>
    <row r="42" spans="1:20" ht="15" customHeight="1">
      <c r="A42" s="260">
        <f t="shared" si="5"/>
        <v>40</v>
      </c>
      <c r="B42" s="261" t="s">
        <v>212</v>
      </c>
      <c r="C42" s="248">
        <v>409.65758659771603</v>
      </c>
      <c r="D42" s="243">
        <v>569</v>
      </c>
      <c r="E42" s="249">
        <f t="shared" si="0"/>
        <v>159.34241340228397</v>
      </c>
      <c r="F42" s="248">
        <v>228.03468458090927</v>
      </c>
      <c r="G42" s="243">
        <v>359</v>
      </c>
      <c r="H42" s="249">
        <f t="shared" si="11"/>
        <v>130.96531541909073</v>
      </c>
      <c r="I42" s="248">
        <v>75.544970967463911</v>
      </c>
      <c r="J42" s="243">
        <v>79</v>
      </c>
      <c r="K42" s="249">
        <f t="shared" si="12"/>
        <v>3.4550290325360891</v>
      </c>
      <c r="L42" s="253" t="s">
        <v>410</v>
      </c>
      <c r="M42" s="243"/>
      <c r="N42" s="249"/>
      <c r="O42" s="248" t="s">
        <v>410</v>
      </c>
      <c r="P42" s="243"/>
      <c r="Q42" s="249"/>
      <c r="R42" s="253"/>
      <c r="S42" s="243"/>
      <c r="T42" s="249"/>
    </row>
    <row r="43" spans="1:20" ht="15" customHeight="1">
      <c r="A43" s="260">
        <f t="shared" si="5"/>
        <v>41</v>
      </c>
      <c r="B43" s="261" t="s">
        <v>214</v>
      </c>
      <c r="C43" s="248">
        <v>237.41071934731934</v>
      </c>
      <c r="D43" s="243">
        <v>569</v>
      </c>
      <c r="E43" s="249">
        <f t="shared" si="0"/>
        <v>331.58928065268066</v>
      </c>
      <c r="F43" s="248">
        <v>141.91125095571095</v>
      </c>
      <c r="G43" s="243">
        <v>359</v>
      </c>
      <c r="H43" s="249">
        <f t="shared" si="11"/>
        <v>217.08874904428905</v>
      </c>
      <c r="I43" s="248">
        <v>58.32028424242425</v>
      </c>
      <c r="J43" s="243">
        <v>79</v>
      </c>
      <c r="K43" s="249">
        <f t="shared" si="12"/>
        <v>20.67971575757575</v>
      </c>
      <c r="L43" s="253" t="s">
        <v>410</v>
      </c>
      <c r="M43" s="243"/>
      <c r="N43" s="249"/>
      <c r="O43" s="248" t="s">
        <v>410</v>
      </c>
      <c r="P43" s="243"/>
      <c r="Q43" s="249"/>
      <c r="R43" s="253"/>
      <c r="S43" s="243"/>
      <c r="T43" s="249"/>
    </row>
    <row r="44" spans="1:20" ht="15" customHeight="1">
      <c r="A44" s="260">
        <f>+A43+1</f>
        <v>42</v>
      </c>
      <c r="B44" s="261" t="s">
        <v>18</v>
      </c>
      <c r="C44" s="248">
        <v>876.61366101225349</v>
      </c>
      <c r="D44" s="243">
        <v>1559</v>
      </c>
      <c r="E44" s="249">
        <f t="shared" si="0"/>
        <v>682.38633898774651</v>
      </c>
      <c r="F44" s="248">
        <v>461.512721788178</v>
      </c>
      <c r="G44" s="243">
        <v>939</v>
      </c>
      <c r="H44" s="249">
        <f t="shared" si="11"/>
        <v>477.487278211822</v>
      </c>
      <c r="I44" s="248">
        <v>122.24057840891766</v>
      </c>
      <c r="J44" s="243">
        <v>199</v>
      </c>
      <c r="K44" s="249">
        <f t="shared" si="12"/>
        <v>76.759421591082344</v>
      </c>
      <c r="L44" s="253" t="s">
        <v>410</v>
      </c>
      <c r="M44" s="243"/>
      <c r="N44" s="249"/>
      <c r="O44" s="248" t="s">
        <v>410</v>
      </c>
      <c r="P44" s="243"/>
      <c r="Q44" s="249"/>
      <c r="R44" s="253"/>
      <c r="S44" s="243"/>
      <c r="T44" s="249"/>
    </row>
    <row r="45" spans="1:20" ht="15" customHeight="1">
      <c r="A45" s="260">
        <f t="shared" si="5"/>
        <v>43</v>
      </c>
      <c r="B45" s="261" t="s">
        <v>217</v>
      </c>
      <c r="C45" s="248">
        <v>461.01163528205132</v>
      </c>
      <c r="D45" s="243">
        <v>629</v>
      </c>
      <c r="E45" s="249">
        <f t="shared" si="0"/>
        <v>167.98836471794868</v>
      </c>
      <c r="F45" s="248">
        <v>247.13231764102565</v>
      </c>
      <c r="G45" s="243">
        <v>369</v>
      </c>
      <c r="H45" s="249">
        <f t="shared" si="11"/>
        <v>121.86768235897435</v>
      </c>
      <c r="I45" s="248">
        <v>129</v>
      </c>
      <c r="J45" s="243">
        <v>199</v>
      </c>
      <c r="K45" s="249">
        <f t="shared" si="12"/>
        <v>70</v>
      </c>
      <c r="L45" s="253" t="s">
        <v>410</v>
      </c>
      <c r="M45" s="243"/>
      <c r="N45" s="249"/>
      <c r="O45" s="248" t="s">
        <v>410</v>
      </c>
      <c r="P45" s="243"/>
      <c r="Q45" s="249"/>
      <c r="R45" s="253"/>
      <c r="S45" s="243"/>
      <c r="T45" s="249"/>
    </row>
    <row r="46" spans="1:20" ht="15" customHeight="1">
      <c r="A46" s="260">
        <f>+A45+1</f>
        <v>44</v>
      </c>
      <c r="B46" s="261" t="s">
        <v>270</v>
      </c>
      <c r="C46" s="248">
        <v>1291.7302656410257</v>
      </c>
      <c r="D46" s="243"/>
      <c r="E46" s="249">
        <f t="shared" si="0"/>
        <v>-1291.7302656410257</v>
      </c>
      <c r="F46" s="248">
        <v>657.96161282051287</v>
      </c>
      <c r="G46" s="243"/>
      <c r="H46" s="249"/>
      <c r="I46" s="248">
        <v>176.94160682051285</v>
      </c>
      <c r="J46" s="243"/>
      <c r="K46" s="249"/>
      <c r="L46" s="253">
        <v>103.44519282051283</v>
      </c>
      <c r="M46" s="243"/>
      <c r="N46" s="249"/>
      <c r="O46" s="248">
        <v>73.020192820512818</v>
      </c>
      <c r="P46" s="243"/>
      <c r="Q46" s="249"/>
      <c r="R46" s="253"/>
      <c r="S46" s="243"/>
      <c r="T46" s="249"/>
    </row>
    <row r="47" spans="1:20" ht="15" customHeight="1">
      <c r="A47" s="260">
        <f t="shared" si="5"/>
        <v>45</v>
      </c>
      <c r="B47" s="261" t="s">
        <v>272</v>
      </c>
      <c r="C47" s="248">
        <v>1648.977823296703</v>
      </c>
      <c r="D47" s="243"/>
      <c r="E47" s="249">
        <f t="shared" si="0"/>
        <v>-1648.977823296703</v>
      </c>
      <c r="F47" s="248">
        <v>846.95470805860805</v>
      </c>
      <c r="G47" s="243"/>
      <c r="H47" s="249"/>
      <c r="I47" s="248">
        <v>202.09381186813184</v>
      </c>
      <c r="J47" s="243"/>
      <c r="K47" s="249"/>
      <c r="L47" s="253">
        <v>122.34450234432235</v>
      </c>
      <c r="M47" s="243"/>
      <c r="N47" s="249"/>
      <c r="O47" s="248">
        <v>82.469847582417586</v>
      </c>
      <c r="P47" s="243"/>
      <c r="Q47" s="249"/>
      <c r="R47" s="253"/>
      <c r="S47" s="243"/>
      <c r="T47" s="249"/>
    </row>
    <row r="48" spans="1:20" ht="15" customHeight="1">
      <c r="A48" s="260">
        <f t="shared" si="5"/>
        <v>46</v>
      </c>
      <c r="B48" s="261" t="s">
        <v>288</v>
      </c>
      <c r="C48" s="248">
        <v>1313.7397280586079</v>
      </c>
      <c r="D48" s="243"/>
      <c r="E48" s="249">
        <f t="shared" si="0"/>
        <v>-1313.7397280586079</v>
      </c>
      <c r="F48" s="248">
        <v>679.33566043956046</v>
      </c>
      <c r="G48" s="243"/>
      <c r="H48" s="249"/>
      <c r="I48" s="248">
        <v>168.57000234432238</v>
      </c>
      <c r="J48" s="243"/>
      <c r="K48" s="249"/>
      <c r="L48" s="253">
        <v>105.58259758241759</v>
      </c>
      <c r="M48" s="243"/>
      <c r="N48" s="249"/>
      <c r="O48" s="248">
        <v>74.088895201465206</v>
      </c>
      <c r="P48" s="243"/>
      <c r="Q48" s="249"/>
      <c r="R48" s="253"/>
      <c r="S48" s="243"/>
      <c r="T48" s="249"/>
    </row>
    <row r="49" spans="1:20" ht="15" customHeight="1">
      <c r="A49" s="260">
        <f t="shared" si="5"/>
        <v>47</v>
      </c>
      <c r="B49" s="261" t="s">
        <v>17</v>
      </c>
      <c r="C49" s="248">
        <v>902.6675312820513</v>
      </c>
      <c r="D49" s="243"/>
      <c r="E49" s="249">
        <f t="shared" si="0"/>
        <v>-902.6675312820513</v>
      </c>
      <c r="F49" s="248">
        <v>467.96026564102567</v>
      </c>
      <c r="G49" s="243"/>
      <c r="H49" s="249"/>
      <c r="I49" s="248">
        <v>133.88760682051281</v>
      </c>
      <c r="J49" s="243"/>
      <c r="K49" s="249"/>
      <c r="L49" s="253">
        <v>81.918192820512814</v>
      </c>
      <c r="M49" s="243"/>
      <c r="N49" s="249"/>
      <c r="O49" s="248">
        <v>62.256692820512825</v>
      </c>
      <c r="P49" s="243"/>
      <c r="Q49" s="249"/>
      <c r="R49" s="253"/>
      <c r="S49" s="243"/>
      <c r="T49" s="249"/>
    </row>
    <row r="50" spans="1:20" ht="15" customHeight="1" thickBot="1">
      <c r="A50" s="263">
        <f t="shared" si="5"/>
        <v>48</v>
      </c>
      <c r="B50" s="264" t="s">
        <v>40</v>
      </c>
      <c r="C50" s="250">
        <v>204.10163282051283</v>
      </c>
      <c r="D50" s="251"/>
      <c r="E50" s="252">
        <f t="shared" si="0"/>
        <v>-204.10163282051283</v>
      </c>
      <c r="F50" s="250">
        <v>124.51661282051283</v>
      </c>
      <c r="G50" s="251"/>
      <c r="H50" s="252"/>
      <c r="I50" s="250">
        <v>57.606192820512824</v>
      </c>
      <c r="J50" s="251"/>
      <c r="K50" s="252"/>
      <c r="L50" s="254">
        <v>50.100692820512819</v>
      </c>
      <c r="M50" s="251"/>
      <c r="N50" s="252"/>
      <c r="O50" s="250">
        <v>46.34794282051282</v>
      </c>
      <c r="P50" s="251"/>
      <c r="Q50" s="252"/>
      <c r="R50" s="254"/>
      <c r="S50" s="251"/>
      <c r="T50" s="252"/>
    </row>
    <row r="51" spans="1:20">
      <c r="H51" s="197"/>
    </row>
    <row r="53" spans="1:20">
      <c r="H53" s="234"/>
    </row>
    <row r="55" spans="1:20">
      <c r="H55" s="197"/>
    </row>
    <row r="57" spans="1:20">
      <c r="H57" s="234"/>
    </row>
    <row r="59" spans="1:20">
      <c r="H59" s="197"/>
    </row>
    <row r="61" spans="1:20">
      <c r="H61" s="234"/>
    </row>
    <row r="63" spans="1:20">
      <c r="H63" s="197"/>
    </row>
    <row r="65" spans="8:8">
      <c r="H65" s="234"/>
    </row>
    <row r="67" spans="8:8">
      <c r="H67" s="197"/>
    </row>
    <row r="69" spans="8:8">
      <c r="H69" s="197"/>
    </row>
    <row r="71" spans="8:8">
      <c r="H71" s="197"/>
    </row>
    <row r="73" spans="8:8">
      <c r="H73" s="197"/>
    </row>
    <row r="75" spans="8:8">
      <c r="H75" s="197"/>
    </row>
    <row r="77" spans="8:8">
      <c r="H77" s="197"/>
    </row>
    <row r="79" spans="8:8">
      <c r="H79" s="197"/>
    </row>
    <row r="81" spans="8:8">
      <c r="H81" s="197"/>
    </row>
    <row r="83" spans="8:8">
      <c r="H83" s="197"/>
    </row>
    <row r="85" spans="8:8">
      <c r="H85" s="197"/>
    </row>
    <row r="87" spans="8:8">
      <c r="H87" s="197"/>
    </row>
    <row r="89" spans="8:8">
      <c r="H89" s="197"/>
    </row>
    <row r="91" spans="8:8">
      <c r="H91" s="197"/>
    </row>
    <row r="93" spans="8:8">
      <c r="H93" s="197"/>
    </row>
    <row r="95" spans="8:8">
      <c r="H95" s="197"/>
    </row>
    <row r="97" spans="8:8">
      <c r="H97" s="197"/>
    </row>
    <row r="99" spans="8:8">
      <c r="H99" s="197"/>
    </row>
    <row r="101" spans="8:8">
      <c r="H101" s="197"/>
    </row>
    <row r="103" spans="8:8">
      <c r="H103" s="197"/>
    </row>
    <row r="105" spans="8:8">
      <c r="H105" s="234"/>
    </row>
    <row r="107" spans="8:8">
      <c r="H107" s="197"/>
    </row>
    <row r="109" spans="8:8">
      <c r="H109" s="197"/>
    </row>
    <row r="111" spans="8:8">
      <c r="H111" s="197"/>
    </row>
    <row r="113" spans="8:8">
      <c r="H113" s="197"/>
    </row>
    <row r="115" spans="8:8">
      <c r="H115" s="197"/>
    </row>
    <row r="117" spans="8:8">
      <c r="H117" s="234"/>
    </row>
    <row r="119" spans="8:8">
      <c r="H119" s="197"/>
    </row>
    <row r="121" spans="8:8">
      <c r="H121" s="197"/>
    </row>
    <row r="123" spans="8:8">
      <c r="H123" s="197"/>
    </row>
    <row r="125" spans="8:8">
      <c r="H125" s="197"/>
    </row>
    <row r="127" spans="8:8">
      <c r="H127" s="197"/>
    </row>
    <row r="129" spans="8:8">
      <c r="H129" s="234"/>
    </row>
    <row r="131" spans="8:8">
      <c r="H131" s="197"/>
    </row>
    <row r="133" spans="8:8">
      <c r="H133" s="197"/>
    </row>
    <row r="135" spans="8:8">
      <c r="H135" s="197"/>
    </row>
    <row r="137" spans="8:8">
      <c r="H137" s="197"/>
    </row>
    <row r="139" spans="8:8">
      <c r="H139" s="197"/>
    </row>
    <row r="141" spans="8:8">
      <c r="H141" s="234"/>
    </row>
    <row r="143" spans="8:8">
      <c r="H143" s="197"/>
    </row>
    <row r="145" spans="8:8">
      <c r="H145" s="197"/>
    </row>
    <row r="147" spans="8:8">
      <c r="H147" s="197"/>
    </row>
    <row r="149" spans="8:8">
      <c r="H149" s="197"/>
    </row>
    <row r="151" spans="8:8">
      <c r="H151" s="197"/>
    </row>
    <row r="153" spans="8:8">
      <c r="H153" s="197"/>
    </row>
    <row r="155" spans="8:8">
      <c r="H155" s="197"/>
    </row>
    <row r="157" spans="8:8">
      <c r="H157" s="197"/>
    </row>
    <row r="159" spans="8:8">
      <c r="H159" s="197"/>
    </row>
    <row r="161" spans="8:8">
      <c r="H161" s="197"/>
    </row>
    <row r="163" spans="8:8">
      <c r="H163" s="197"/>
    </row>
    <row r="165" spans="8:8">
      <c r="H165" s="197"/>
    </row>
    <row r="167" spans="8:8">
      <c r="H167" s="197"/>
    </row>
    <row r="169" spans="8:8">
      <c r="H169" s="197"/>
    </row>
    <row r="171" spans="8:8">
      <c r="H171" s="197"/>
    </row>
    <row r="172" spans="8:8">
      <c r="H172" s="197"/>
    </row>
    <row r="173" spans="8:8">
      <c r="H173" s="197"/>
    </row>
  </sheetData>
  <mergeCells count="6">
    <mergeCell ref="R1:T1"/>
    <mergeCell ref="C1:E1"/>
    <mergeCell ref="F1:H1"/>
    <mergeCell ref="I1:K1"/>
    <mergeCell ref="L1:N1"/>
    <mergeCell ref="O1:Q1"/>
  </mergeCells>
  <conditionalFormatting sqref="S38 Q3:Q17 E3:E50 H3:H45 N3:N44 K3:K44">
    <cfRule type="cellIs" dxfId="5" priority="3" operator="lessThan">
      <formula>0</formula>
    </cfRule>
  </conditionalFormatting>
  <conditionalFormatting sqref="T38">
    <cfRule type="cellIs" dxfId="4" priority="2" operator="lessThan">
      <formula>0</formula>
    </cfRule>
  </conditionalFormatting>
  <conditionalFormatting sqref="K45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13B-ADFB-BF4A-8A7F-1E10E5BA8FB0}">
  <dimension ref="A1:T52"/>
  <sheetViews>
    <sheetView topLeftCell="A2" zoomScale="125" workbookViewId="0">
      <selection activeCell="B31" sqref="B31"/>
    </sheetView>
  </sheetViews>
  <sheetFormatPr baseColWidth="10" defaultRowHeight="14"/>
  <cols>
    <col min="1" max="1" width="15.83203125" customWidth="1"/>
    <col min="2" max="2" width="37.5" customWidth="1"/>
    <col min="3" max="20" width="15.83203125" customWidth="1"/>
  </cols>
  <sheetData>
    <row r="1" spans="1:20" ht="15" customHeight="1">
      <c r="A1" s="256"/>
      <c r="B1" s="257"/>
      <c r="C1" s="396" t="s">
        <v>436</v>
      </c>
      <c r="D1" s="397"/>
      <c r="E1" s="398"/>
      <c r="F1" s="396" t="s">
        <v>409</v>
      </c>
      <c r="G1" s="397"/>
      <c r="H1" s="398"/>
      <c r="I1" s="396" t="s">
        <v>408</v>
      </c>
      <c r="J1" s="397"/>
      <c r="K1" s="398"/>
      <c r="L1" s="396" t="s">
        <v>407</v>
      </c>
      <c r="M1" s="397"/>
      <c r="N1" s="398"/>
      <c r="O1" s="396" t="s">
        <v>406</v>
      </c>
      <c r="P1" s="397"/>
      <c r="Q1" s="398"/>
      <c r="R1" s="396" t="s">
        <v>411</v>
      </c>
      <c r="S1" s="397"/>
      <c r="T1" s="398"/>
    </row>
    <row r="2" spans="1:20" ht="15" customHeight="1">
      <c r="A2" s="258" t="s">
        <v>147</v>
      </c>
      <c r="B2" s="259" t="s">
        <v>148</v>
      </c>
      <c r="C2" s="255" t="s">
        <v>439</v>
      </c>
      <c r="D2" s="239" t="s">
        <v>405</v>
      </c>
      <c r="E2" s="247" t="s">
        <v>438</v>
      </c>
      <c r="F2" s="255" t="s">
        <v>439</v>
      </c>
      <c r="G2" s="239" t="s">
        <v>405</v>
      </c>
      <c r="H2" s="247" t="s">
        <v>438</v>
      </c>
      <c r="I2" s="255" t="s">
        <v>439</v>
      </c>
      <c r="J2" s="239" t="s">
        <v>405</v>
      </c>
      <c r="K2" s="247" t="s">
        <v>438</v>
      </c>
      <c r="L2" s="255" t="s">
        <v>439</v>
      </c>
      <c r="M2" s="239" t="s">
        <v>405</v>
      </c>
      <c r="N2" s="247" t="s">
        <v>438</v>
      </c>
      <c r="O2" s="255" t="s">
        <v>439</v>
      </c>
      <c r="P2" s="240" t="s">
        <v>405</v>
      </c>
      <c r="Q2" s="247" t="s">
        <v>438</v>
      </c>
      <c r="R2" s="255" t="s">
        <v>439</v>
      </c>
      <c r="S2" s="240" t="s">
        <v>405</v>
      </c>
      <c r="T2" s="247" t="s">
        <v>438</v>
      </c>
    </row>
    <row r="3" spans="1:20" ht="15" customHeight="1">
      <c r="A3" s="260">
        <v>1</v>
      </c>
      <c r="B3" s="261" t="s">
        <v>15</v>
      </c>
      <c r="C3" s="253">
        <v>2916.065897435898</v>
      </c>
      <c r="D3" s="243">
        <v>4299</v>
      </c>
      <c r="E3" s="249">
        <f>D3-C3</f>
        <v>1382.934102564102</v>
      </c>
      <c r="F3" s="253">
        <v>1458.032948717949</v>
      </c>
      <c r="G3" s="243">
        <v>2579</v>
      </c>
      <c r="H3" s="249">
        <f>G3-F3</f>
        <v>1120.967051282051</v>
      </c>
      <c r="I3" s="253">
        <v>325.37758205128205</v>
      </c>
      <c r="J3" s="243">
        <v>569</v>
      </c>
      <c r="K3" s="249">
        <f t="shared" ref="K3:K37" si="0">J3-I3</f>
        <v>243.62241794871795</v>
      </c>
      <c r="L3" s="253">
        <v>167.40428205128202</v>
      </c>
      <c r="M3" s="243">
        <v>349</v>
      </c>
      <c r="N3" s="249">
        <f>M3-L3</f>
        <v>181.59571794871798</v>
      </c>
      <c r="O3" s="253">
        <v>93.776282051282038</v>
      </c>
      <c r="P3" s="243">
        <v>189</v>
      </c>
      <c r="Q3" s="249">
        <f t="shared" ref="Q3:Q11" si="1">P3-O3</f>
        <v>95.223717948717962</v>
      </c>
      <c r="R3" s="253"/>
      <c r="S3" s="243"/>
      <c r="T3" s="249"/>
    </row>
    <row r="4" spans="1:20" ht="15" customHeight="1">
      <c r="A4" s="260">
        <f>+A3+1</f>
        <v>2</v>
      </c>
      <c r="B4" s="262" t="s">
        <v>35</v>
      </c>
      <c r="C4" s="253">
        <v>3411.065897435898</v>
      </c>
      <c r="D4" s="243">
        <v>4999</v>
      </c>
      <c r="E4" s="249">
        <f t="shared" ref="E4:E50" si="2">D4-C4</f>
        <v>1587.934102564102</v>
      </c>
      <c r="F4" s="253">
        <v>1705.532948717949</v>
      </c>
      <c r="G4" s="243">
        <v>2999</v>
      </c>
      <c r="H4" s="249">
        <f t="shared" ref="H4:H45" si="3">G4-F4</f>
        <v>1293.467051282051</v>
      </c>
      <c r="I4" s="253">
        <v>374.87758205128205</v>
      </c>
      <c r="J4" s="243">
        <v>659</v>
      </c>
      <c r="K4" s="249">
        <f t="shared" si="0"/>
        <v>284.12241794871795</v>
      </c>
      <c r="L4" s="253">
        <v>192.15428205128202</v>
      </c>
      <c r="M4" s="243">
        <v>349</v>
      </c>
      <c r="N4" s="249">
        <f t="shared" ref="N4:N37" si="4">M4-L4</f>
        <v>156.84571794871798</v>
      </c>
      <c r="O4" s="253">
        <v>106.15128205128204</v>
      </c>
      <c r="P4" s="243">
        <v>189</v>
      </c>
      <c r="Q4" s="249">
        <f t="shared" si="1"/>
        <v>82.848717948717962</v>
      </c>
      <c r="R4" s="253"/>
      <c r="S4" s="243"/>
      <c r="T4" s="249"/>
    </row>
    <row r="5" spans="1:20" ht="15" customHeight="1">
      <c r="A5" s="260">
        <f t="shared" ref="A5:A50" si="5">+A4+1</f>
        <v>3</v>
      </c>
      <c r="B5" s="262" t="s">
        <v>543</v>
      </c>
      <c r="C5" s="253">
        <v>444.40312820512827</v>
      </c>
      <c r="D5" s="243">
        <v>949</v>
      </c>
      <c r="E5" s="249">
        <f t="shared" si="2"/>
        <v>504.59687179487173</v>
      </c>
      <c r="F5" s="253">
        <v>203.26294871794869</v>
      </c>
      <c r="G5" s="243">
        <v>569</v>
      </c>
      <c r="H5" s="249">
        <f t="shared" si="3"/>
        <v>365.73705128205131</v>
      </c>
      <c r="I5" s="253">
        <v>74.423582051282054</v>
      </c>
      <c r="J5" s="243">
        <v>129</v>
      </c>
      <c r="K5" s="249">
        <f t="shared" si="0"/>
        <v>54.576417948717946</v>
      </c>
      <c r="L5" s="253">
        <v>51.207897435897429</v>
      </c>
      <c r="M5" s="243">
        <v>89</v>
      </c>
      <c r="N5" s="249">
        <f t="shared" si="4"/>
        <v>37.792102564102571</v>
      </c>
      <c r="O5" s="253">
        <v>31.037782051282051</v>
      </c>
      <c r="P5" s="243">
        <v>49</v>
      </c>
      <c r="Q5" s="249">
        <f t="shared" si="1"/>
        <v>17.962217948717949</v>
      </c>
      <c r="R5" s="253"/>
      <c r="S5" s="243"/>
      <c r="T5" s="249"/>
    </row>
    <row r="6" spans="1:20" ht="15" customHeight="1">
      <c r="A6" s="260">
        <f t="shared" si="5"/>
        <v>4</v>
      </c>
      <c r="B6" s="262" t="s">
        <v>1</v>
      </c>
      <c r="C6" s="253">
        <v>1431.0658974358976</v>
      </c>
      <c r="D6" s="243">
        <v>2099</v>
      </c>
      <c r="E6" s="249">
        <f t="shared" si="2"/>
        <v>667.93410256410243</v>
      </c>
      <c r="F6" s="253">
        <v>715.53294871794878</v>
      </c>
      <c r="G6" s="243">
        <v>1259</v>
      </c>
      <c r="H6" s="249">
        <f t="shared" si="3"/>
        <v>543.46705128205122</v>
      </c>
      <c r="I6" s="253">
        <v>176.87758205128202</v>
      </c>
      <c r="J6" s="243">
        <v>279</v>
      </c>
      <c r="K6" s="249">
        <f t="shared" si="0"/>
        <v>102.12241794871798</v>
      </c>
      <c r="L6" s="253">
        <v>93.154282051282053</v>
      </c>
      <c r="M6" s="243">
        <v>169</v>
      </c>
      <c r="N6" s="249">
        <f t="shared" si="4"/>
        <v>75.845717948717947</v>
      </c>
      <c r="O6" s="253">
        <v>56.651282051282053</v>
      </c>
      <c r="P6" s="243">
        <v>89</v>
      </c>
      <c r="Q6" s="249">
        <f t="shared" si="1"/>
        <v>32.348717948717947</v>
      </c>
      <c r="R6" s="253"/>
      <c r="S6" s="243"/>
      <c r="T6" s="249"/>
    </row>
    <row r="7" spans="1:20" ht="15" customHeight="1">
      <c r="A7" s="260">
        <f t="shared" si="5"/>
        <v>5</v>
      </c>
      <c r="B7" s="262" t="s">
        <v>158</v>
      </c>
      <c r="C7" s="253">
        <v>416.90312820512821</v>
      </c>
      <c r="D7" s="243">
        <v>699</v>
      </c>
      <c r="E7" s="249">
        <f t="shared" si="2"/>
        <v>282.09687179487179</v>
      </c>
      <c r="F7" s="253">
        <v>208.45156410256411</v>
      </c>
      <c r="G7" s="243">
        <v>419</v>
      </c>
      <c r="H7" s="249">
        <f t="shared" si="3"/>
        <v>210.54843589743589</v>
      </c>
      <c r="I7" s="253">
        <v>71.673582051282054</v>
      </c>
      <c r="J7" s="243">
        <v>109</v>
      </c>
      <c r="K7" s="249">
        <f t="shared" si="0"/>
        <v>37.326417948717946</v>
      </c>
      <c r="L7" s="253">
        <v>49.832897435897429</v>
      </c>
      <c r="M7" s="243">
        <v>79</v>
      </c>
      <c r="N7" s="249">
        <f t="shared" si="4"/>
        <v>29.167102564102571</v>
      </c>
      <c r="O7" s="253">
        <v>30.350282051282051</v>
      </c>
      <c r="P7" s="243">
        <v>49</v>
      </c>
      <c r="Q7" s="249">
        <f t="shared" si="1"/>
        <v>18.649717948717949</v>
      </c>
      <c r="R7" s="253"/>
      <c r="S7" s="243"/>
      <c r="T7" s="249"/>
    </row>
    <row r="8" spans="1:20" ht="15" customHeight="1">
      <c r="A8" s="260">
        <f t="shared" si="5"/>
        <v>6</v>
      </c>
      <c r="B8" s="262" t="s">
        <v>5</v>
      </c>
      <c r="C8" s="253">
        <v>1309.6264615384612</v>
      </c>
      <c r="D8" s="243">
        <v>1899</v>
      </c>
      <c r="E8" s="249">
        <f t="shared" si="2"/>
        <v>589.37353846153883</v>
      </c>
      <c r="F8" s="253">
        <v>654.81323076923059</v>
      </c>
      <c r="G8" s="243">
        <v>1139</v>
      </c>
      <c r="H8" s="249">
        <f t="shared" si="3"/>
        <v>484.18676923076941</v>
      </c>
      <c r="I8" s="253">
        <v>160.94591538461538</v>
      </c>
      <c r="J8" s="243">
        <v>259</v>
      </c>
      <c r="K8" s="249">
        <f t="shared" si="0"/>
        <v>98.054084615384625</v>
      </c>
      <c r="L8" s="253">
        <v>94.46906410256409</v>
      </c>
      <c r="M8" s="243">
        <v>149</v>
      </c>
      <c r="N8" s="249">
        <f t="shared" si="4"/>
        <v>54.53093589743591</v>
      </c>
      <c r="O8" s="253">
        <v>52.668365384615377</v>
      </c>
      <c r="P8" s="243">
        <v>89</v>
      </c>
      <c r="Q8" s="249">
        <f t="shared" si="1"/>
        <v>36.331634615384623</v>
      </c>
      <c r="R8" s="253"/>
      <c r="S8" s="243"/>
      <c r="T8" s="249"/>
    </row>
    <row r="9" spans="1:20" ht="15" customHeight="1">
      <c r="A9" s="260">
        <f t="shared" si="5"/>
        <v>7</v>
      </c>
      <c r="B9" s="262" t="s">
        <v>161</v>
      </c>
      <c r="C9" s="253">
        <v>875.11912820512805</v>
      </c>
      <c r="D9" s="243">
        <v>989</v>
      </c>
      <c r="E9" s="249">
        <f t="shared" si="2"/>
        <v>113.88087179487195</v>
      </c>
      <c r="F9" s="253">
        <v>437.55956410256402</v>
      </c>
      <c r="G9" s="243">
        <v>599</v>
      </c>
      <c r="H9" s="249">
        <f t="shared" si="3"/>
        <v>161.44043589743598</v>
      </c>
      <c r="I9" s="253">
        <v>117.49518205128206</v>
      </c>
      <c r="J9" s="243">
        <v>199</v>
      </c>
      <c r="K9" s="249">
        <f t="shared" si="0"/>
        <v>81.504817948717942</v>
      </c>
      <c r="L9" s="253">
        <v>72.743697435897431</v>
      </c>
      <c r="M9" s="243">
        <v>119</v>
      </c>
      <c r="N9" s="249">
        <f t="shared" si="4"/>
        <v>46.256302564102569</v>
      </c>
      <c r="O9" s="253">
        <v>41.805682051282048</v>
      </c>
      <c r="P9" s="243">
        <v>79</v>
      </c>
      <c r="Q9" s="249">
        <f t="shared" si="1"/>
        <v>37.194317948717952</v>
      </c>
      <c r="R9" s="253"/>
      <c r="S9" s="243"/>
      <c r="T9" s="249"/>
    </row>
    <row r="10" spans="1:20" ht="15" customHeight="1">
      <c r="A10" s="260">
        <f t="shared" si="5"/>
        <v>8</v>
      </c>
      <c r="B10" s="262" t="s">
        <v>163</v>
      </c>
      <c r="C10" s="253">
        <v>831.11912820512805</v>
      </c>
      <c r="D10" s="243">
        <v>989</v>
      </c>
      <c r="E10" s="249">
        <f t="shared" si="2"/>
        <v>157.88087179487195</v>
      </c>
      <c r="F10" s="253">
        <v>415.55956410256402</v>
      </c>
      <c r="G10" s="243">
        <v>599</v>
      </c>
      <c r="H10" s="249">
        <f t="shared" si="3"/>
        <v>183.44043589743598</v>
      </c>
      <c r="I10" s="253">
        <v>113.09518205128205</v>
      </c>
      <c r="J10" s="243">
        <v>199</v>
      </c>
      <c r="K10" s="249">
        <f t="shared" si="0"/>
        <v>85.904817948717948</v>
      </c>
      <c r="L10" s="253">
        <v>70.543697435897428</v>
      </c>
      <c r="M10" s="243">
        <v>119</v>
      </c>
      <c r="N10" s="249">
        <f t="shared" si="4"/>
        <v>48.456302564102572</v>
      </c>
      <c r="O10" s="253">
        <v>40.705682051282054</v>
      </c>
      <c r="P10" s="243">
        <v>79</v>
      </c>
      <c r="Q10" s="249">
        <f t="shared" si="1"/>
        <v>38.294317948717946</v>
      </c>
      <c r="R10" s="253"/>
      <c r="S10" s="243"/>
      <c r="T10" s="249"/>
    </row>
    <row r="11" spans="1:20" ht="15" customHeight="1">
      <c r="A11" s="260">
        <f t="shared" si="5"/>
        <v>9</v>
      </c>
      <c r="B11" s="262" t="s">
        <v>0</v>
      </c>
      <c r="C11" s="253">
        <v>1027.1272820512822</v>
      </c>
      <c r="D11" s="243">
        <v>1599</v>
      </c>
      <c r="E11" s="249">
        <f t="shared" si="2"/>
        <v>571.87271794871776</v>
      </c>
      <c r="F11" s="253">
        <v>519.19394871794873</v>
      </c>
      <c r="G11" s="243">
        <v>969</v>
      </c>
      <c r="H11" s="249">
        <f t="shared" si="3"/>
        <v>449.80605128205127</v>
      </c>
      <c r="I11" s="253">
        <v>127.66028205128205</v>
      </c>
      <c r="J11" s="243">
        <v>219</v>
      </c>
      <c r="K11" s="249">
        <f t="shared" si="0"/>
        <v>91.339717948717947</v>
      </c>
      <c r="L11" s="253">
        <v>73.904282051282053</v>
      </c>
      <c r="M11" s="243">
        <v>129</v>
      </c>
      <c r="N11" s="249">
        <f t="shared" si="4"/>
        <v>55.095717948717947</v>
      </c>
      <c r="O11" s="253">
        <v>47.026282051282053</v>
      </c>
      <c r="P11" s="243">
        <v>89</v>
      </c>
      <c r="Q11" s="249">
        <f t="shared" si="1"/>
        <v>41.973717948717947</v>
      </c>
      <c r="R11" s="253"/>
      <c r="S11" s="243"/>
      <c r="T11" s="249"/>
    </row>
    <row r="12" spans="1:20" ht="15" customHeight="1">
      <c r="A12" s="260">
        <f t="shared" si="5"/>
        <v>10</v>
      </c>
      <c r="B12" s="262" t="s">
        <v>2</v>
      </c>
      <c r="C12" s="253">
        <v>377.37589743589746</v>
      </c>
      <c r="D12" s="243">
        <v>389</v>
      </c>
      <c r="E12" s="249">
        <f t="shared" si="2"/>
        <v>11.624102564102543</v>
      </c>
      <c r="F12" s="253">
        <v>188.68794871794873</v>
      </c>
      <c r="G12" s="243">
        <v>239</v>
      </c>
      <c r="H12" s="249">
        <f t="shared" si="3"/>
        <v>50.312051282051272</v>
      </c>
      <c r="I12" s="253">
        <v>70.071897435897426</v>
      </c>
      <c r="J12" s="243">
        <v>59</v>
      </c>
      <c r="K12" s="249">
        <f t="shared" si="0"/>
        <v>-11.071897435897426</v>
      </c>
      <c r="L12" s="253">
        <v>40.469782051282053</v>
      </c>
      <c r="M12" s="243">
        <v>39</v>
      </c>
      <c r="N12" s="249">
        <f t="shared" si="4"/>
        <v>-1.4697820512820527</v>
      </c>
      <c r="O12" s="253">
        <v>30.309032051282053</v>
      </c>
      <c r="P12" s="243" t="s">
        <v>410</v>
      </c>
      <c r="Q12" s="249"/>
      <c r="R12" s="253"/>
      <c r="S12" s="243"/>
      <c r="T12" s="249"/>
    </row>
    <row r="13" spans="1:20" ht="15" customHeight="1">
      <c r="A13" s="260">
        <f t="shared" si="5"/>
        <v>11</v>
      </c>
      <c r="B13" s="262" t="s">
        <v>3</v>
      </c>
      <c r="C13" s="253">
        <v>481.63728205128206</v>
      </c>
      <c r="D13" s="243">
        <v>659</v>
      </c>
      <c r="E13" s="249">
        <f t="shared" si="2"/>
        <v>177.36271794871794</v>
      </c>
      <c r="F13" s="253">
        <v>246.4489487179487</v>
      </c>
      <c r="G13" s="243">
        <v>389</v>
      </c>
      <c r="H13" s="249">
        <f t="shared" si="3"/>
        <v>142.5510512820513</v>
      </c>
      <c r="I13" s="253">
        <v>73.11128205128206</v>
      </c>
      <c r="J13" s="243">
        <v>89</v>
      </c>
      <c r="K13" s="249">
        <f t="shared" si="0"/>
        <v>15.88871794871794</v>
      </c>
      <c r="L13" s="253">
        <v>46.629782051282049</v>
      </c>
      <c r="M13" s="243">
        <v>59</v>
      </c>
      <c r="N13" s="249">
        <f t="shared" si="4"/>
        <v>12.370217948717951</v>
      </c>
      <c r="O13" s="253">
        <v>33.389032051282058</v>
      </c>
      <c r="P13" s="243" t="s">
        <v>410</v>
      </c>
      <c r="Q13" s="249"/>
      <c r="R13" s="253"/>
      <c r="S13" s="243"/>
      <c r="T13" s="249"/>
    </row>
    <row r="14" spans="1:20" ht="15" customHeight="1">
      <c r="A14" s="260">
        <f t="shared" si="5"/>
        <v>12</v>
      </c>
      <c r="B14" s="262" t="s">
        <v>41</v>
      </c>
      <c r="C14" s="253">
        <v>292.43728205128201</v>
      </c>
      <c r="D14" s="243">
        <v>289</v>
      </c>
      <c r="E14" s="249">
        <f t="shared" si="2"/>
        <v>-3.4372820512820113</v>
      </c>
      <c r="F14" s="253">
        <v>151.84894871794873</v>
      </c>
      <c r="G14" s="243">
        <v>169</v>
      </c>
      <c r="H14" s="249">
        <f t="shared" si="3"/>
        <v>17.15105128205127</v>
      </c>
      <c r="I14" s="253">
        <v>54.191282051282052</v>
      </c>
      <c r="J14" s="243">
        <v>49</v>
      </c>
      <c r="K14" s="249">
        <f t="shared" si="0"/>
        <v>-5.1912820512820517</v>
      </c>
      <c r="L14" s="253" t="s">
        <v>410</v>
      </c>
      <c r="M14" s="243"/>
      <c r="N14" s="249"/>
      <c r="O14" s="253" t="s">
        <v>410</v>
      </c>
      <c r="P14" s="243"/>
      <c r="Q14" s="249"/>
      <c r="R14" s="253"/>
      <c r="S14" s="243"/>
      <c r="T14" s="249"/>
    </row>
    <row r="15" spans="1:20" ht="15" customHeight="1">
      <c r="A15" s="260">
        <f t="shared" si="5"/>
        <v>13</v>
      </c>
      <c r="B15" s="261" t="s">
        <v>16</v>
      </c>
      <c r="C15" s="253">
        <v>3218.1264615384621</v>
      </c>
      <c r="D15" s="243">
        <v>4299</v>
      </c>
      <c r="E15" s="249">
        <f t="shared" si="2"/>
        <v>1080.8735384615379</v>
      </c>
      <c r="F15" s="253">
        <v>1609.063230769231</v>
      </c>
      <c r="G15" s="243">
        <v>2579</v>
      </c>
      <c r="H15" s="249">
        <f t="shared" si="3"/>
        <v>969.93676923076896</v>
      </c>
      <c r="I15" s="253">
        <v>351.7959153846154</v>
      </c>
      <c r="J15" s="243">
        <v>569</v>
      </c>
      <c r="K15" s="249">
        <f t="shared" si="0"/>
        <v>217.2040846153846</v>
      </c>
      <c r="L15" s="253">
        <v>189.8940641025641</v>
      </c>
      <c r="M15" s="243">
        <v>349</v>
      </c>
      <c r="N15" s="249">
        <f t="shared" si="4"/>
        <v>159.1059358974359</v>
      </c>
      <c r="O15" s="253">
        <v>100.38086538461538</v>
      </c>
      <c r="P15" s="243">
        <v>199</v>
      </c>
      <c r="Q15" s="249">
        <f>P15-O15</f>
        <v>98.619134615384624</v>
      </c>
      <c r="R15" s="253"/>
      <c r="S15" s="243"/>
      <c r="T15" s="249"/>
    </row>
    <row r="16" spans="1:20" ht="15" customHeight="1">
      <c r="A16" s="260">
        <f t="shared" si="5"/>
        <v>14</v>
      </c>
      <c r="B16" s="261" t="s">
        <v>12</v>
      </c>
      <c r="C16" s="253">
        <v>1082.1272820512822</v>
      </c>
      <c r="D16" s="243">
        <v>1799</v>
      </c>
      <c r="E16" s="249">
        <f t="shared" si="2"/>
        <v>716.87271794871776</v>
      </c>
      <c r="F16" s="253">
        <v>546.69394871794873</v>
      </c>
      <c r="G16" s="243">
        <v>1089</v>
      </c>
      <c r="H16" s="249">
        <f t="shared" si="3"/>
        <v>542.30605128205127</v>
      </c>
      <c r="I16" s="253">
        <v>133.16028205128205</v>
      </c>
      <c r="J16" s="243">
        <v>239</v>
      </c>
      <c r="K16" s="249">
        <f t="shared" si="0"/>
        <v>105.83971794871795</v>
      </c>
      <c r="L16" s="253">
        <v>76.654282051282053</v>
      </c>
      <c r="M16" s="243">
        <v>149</v>
      </c>
      <c r="N16" s="249">
        <f t="shared" si="4"/>
        <v>72.345717948717947</v>
      </c>
      <c r="O16" s="253">
        <v>48.401282051282053</v>
      </c>
      <c r="P16" s="243">
        <v>89</v>
      </c>
      <c r="Q16" s="249">
        <f>P16-O16</f>
        <v>40.598717948717947</v>
      </c>
      <c r="R16" s="253"/>
      <c r="S16" s="243"/>
      <c r="T16" s="249"/>
    </row>
    <row r="17" spans="1:20" ht="15" customHeight="1">
      <c r="A17" s="260">
        <f t="shared" si="5"/>
        <v>15</v>
      </c>
      <c r="B17" s="261" t="s">
        <v>13</v>
      </c>
      <c r="C17" s="253">
        <v>922.90312820512804</v>
      </c>
      <c r="D17" s="243">
        <v>2099</v>
      </c>
      <c r="E17" s="249">
        <f t="shared" si="2"/>
        <v>1176.096871794872</v>
      </c>
      <c r="F17" s="253">
        <v>461.45156410256402</v>
      </c>
      <c r="G17" s="243">
        <v>1259</v>
      </c>
      <c r="H17" s="249">
        <f t="shared" si="3"/>
        <v>797.54843589743598</v>
      </c>
      <c r="I17" s="253">
        <v>122.27358205128208</v>
      </c>
      <c r="J17" s="243">
        <v>279</v>
      </c>
      <c r="K17" s="249">
        <f t="shared" si="0"/>
        <v>156.72641794871794</v>
      </c>
      <c r="L17" s="253">
        <v>75.132897435897448</v>
      </c>
      <c r="M17" s="243">
        <v>169</v>
      </c>
      <c r="N17" s="249">
        <f t="shared" si="4"/>
        <v>93.867102564102552</v>
      </c>
      <c r="O17" s="253">
        <v>43.000282051282056</v>
      </c>
      <c r="P17" s="243">
        <v>89</v>
      </c>
      <c r="Q17" s="249">
        <f>P17-O17</f>
        <v>45.999717948717944</v>
      </c>
      <c r="R17" s="253"/>
      <c r="S17" s="243"/>
      <c r="T17" s="249"/>
    </row>
    <row r="18" spans="1:20" ht="15" customHeight="1">
      <c r="A18" s="260">
        <f t="shared" si="5"/>
        <v>16</v>
      </c>
      <c r="B18" s="262" t="s">
        <v>172</v>
      </c>
      <c r="C18" s="253">
        <v>1130.7362820512822</v>
      </c>
      <c r="D18" s="243">
        <v>1899</v>
      </c>
      <c r="E18" s="249">
        <f t="shared" si="2"/>
        <v>768.26371794871784</v>
      </c>
      <c r="F18" s="253">
        <v>573.59224871794868</v>
      </c>
      <c r="G18" s="243">
        <v>1139</v>
      </c>
      <c r="H18" s="249">
        <f t="shared" si="3"/>
        <v>565.40775128205132</v>
      </c>
      <c r="I18" s="253">
        <v>138.73398205128206</v>
      </c>
      <c r="J18" s="243">
        <v>259</v>
      </c>
      <c r="K18" s="249">
        <f t="shared" si="0"/>
        <v>120.26601794871794</v>
      </c>
      <c r="L18" s="253">
        <v>80.027982051282066</v>
      </c>
      <c r="M18" s="243">
        <v>159</v>
      </c>
      <c r="N18" s="249">
        <f t="shared" si="4"/>
        <v>78.972017948717934</v>
      </c>
      <c r="O18" s="253" t="s">
        <v>410</v>
      </c>
      <c r="P18" s="243"/>
      <c r="Q18" s="249"/>
      <c r="R18" s="253"/>
      <c r="S18" s="243"/>
      <c r="T18" s="249"/>
    </row>
    <row r="19" spans="1:20" ht="15" customHeight="1">
      <c r="A19" s="260">
        <f t="shared" si="5"/>
        <v>17</v>
      </c>
      <c r="B19" s="262" t="s">
        <v>174</v>
      </c>
      <c r="C19" s="253">
        <v>390.56828205128204</v>
      </c>
      <c r="D19" s="243">
        <v>429</v>
      </c>
      <c r="E19" s="249">
        <f t="shared" si="2"/>
        <v>38.43171794871796</v>
      </c>
      <c r="F19" s="253">
        <v>200.91444871794872</v>
      </c>
      <c r="G19" s="243">
        <v>259</v>
      </c>
      <c r="H19" s="249">
        <f t="shared" si="3"/>
        <v>58.085551282051284</v>
      </c>
      <c r="I19" s="253">
        <v>62.981382051282061</v>
      </c>
      <c r="J19" s="243">
        <v>69</v>
      </c>
      <c r="K19" s="249">
        <f t="shared" si="0"/>
        <v>6.0186179487179388</v>
      </c>
      <c r="L19" s="253" t="s">
        <v>410</v>
      </c>
      <c r="M19" s="243" t="s">
        <v>410</v>
      </c>
      <c r="N19" s="249"/>
      <c r="O19" s="253" t="s">
        <v>410</v>
      </c>
      <c r="P19" s="243"/>
      <c r="Q19" s="249"/>
      <c r="R19" s="253"/>
      <c r="S19" s="243"/>
      <c r="T19" s="249"/>
    </row>
    <row r="20" spans="1:20" ht="15" customHeight="1">
      <c r="A20" s="260">
        <f t="shared" si="5"/>
        <v>18</v>
      </c>
      <c r="B20" s="262" t="s">
        <v>176</v>
      </c>
      <c r="C20" s="253">
        <v>526.08828205128214</v>
      </c>
      <c r="D20" s="243">
        <v>679</v>
      </c>
      <c r="E20" s="249">
        <f t="shared" si="2"/>
        <v>152.91171794871786</v>
      </c>
      <c r="F20" s="253">
        <v>268.67444871794874</v>
      </c>
      <c r="G20" s="243">
        <v>419</v>
      </c>
      <c r="H20" s="249">
        <f t="shared" si="3"/>
        <v>150.32555128205126</v>
      </c>
      <c r="I20" s="253">
        <v>76.533382051282061</v>
      </c>
      <c r="J20" s="243">
        <v>99</v>
      </c>
      <c r="K20" s="249">
        <f t="shared" si="0"/>
        <v>22.466617948717939</v>
      </c>
      <c r="L20" s="253" t="s">
        <v>410</v>
      </c>
      <c r="M20" s="243" t="s">
        <v>410</v>
      </c>
      <c r="N20" s="249"/>
      <c r="O20" s="253" t="s">
        <v>410</v>
      </c>
      <c r="P20" s="243"/>
      <c r="Q20" s="249"/>
      <c r="R20" s="253"/>
      <c r="S20" s="243"/>
      <c r="T20" s="249"/>
    </row>
    <row r="21" spans="1:20" ht="15" customHeight="1">
      <c r="A21" s="260">
        <f t="shared" si="5"/>
        <v>19</v>
      </c>
      <c r="B21" s="262" t="s">
        <v>228</v>
      </c>
      <c r="C21" s="253">
        <v>417.67228205128202</v>
      </c>
      <c r="D21" s="243">
        <v>479</v>
      </c>
      <c r="E21" s="249">
        <f t="shared" si="2"/>
        <v>61.327717948717975</v>
      </c>
      <c r="F21" s="253">
        <v>214.46644871794868</v>
      </c>
      <c r="G21" s="243">
        <v>289</v>
      </c>
      <c r="H21" s="249">
        <f t="shared" si="3"/>
        <v>74.53355128205132</v>
      </c>
      <c r="I21" s="253">
        <v>65.691782051282061</v>
      </c>
      <c r="J21" s="243">
        <v>79</v>
      </c>
      <c r="K21" s="249">
        <f t="shared" si="0"/>
        <v>13.308217948717939</v>
      </c>
      <c r="L21" s="253" t="s">
        <v>410</v>
      </c>
      <c r="M21" s="243" t="s">
        <v>410</v>
      </c>
      <c r="N21" s="249"/>
      <c r="O21" s="253" t="s">
        <v>410</v>
      </c>
      <c r="P21" s="243"/>
      <c r="Q21" s="249"/>
      <c r="R21" s="253"/>
      <c r="S21" s="243"/>
      <c r="T21" s="249"/>
    </row>
    <row r="22" spans="1:20" ht="15" customHeight="1">
      <c r="A22" s="260">
        <f t="shared" si="5"/>
        <v>20</v>
      </c>
      <c r="B22" s="262" t="s">
        <v>179</v>
      </c>
      <c r="C22" s="253">
        <v>455.30328205128205</v>
      </c>
      <c r="D22" s="243">
        <v>499</v>
      </c>
      <c r="E22" s="249">
        <f t="shared" si="2"/>
        <v>43.696717948717946</v>
      </c>
      <c r="F22" s="253">
        <v>233.28194871794869</v>
      </c>
      <c r="G22" s="243">
        <v>299</v>
      </c>
      <c r="H22" s="249">
        <f t="shared" si="3"/>
        <v>65.718051282051306</v>
      </c>
      <c r="I22" s="253">
        <v>69.45488205128207</v>
      </c>
      <c r="J22" s="243">
        <v>89</v>
      </c>
      <c r="K22" s="249">
        <f t="shared" si="0"/>
        <v>19.54511794871793</v>
      </c>
      <c r="L22" s="253" t="s">
        <v>410</v>
      </c>
      <c r="M22" s="243" t="s">
        <v>410</v>
      </c>
      <c r="N22" s="249"/>
      <c r="O22" s="253" t="s">
        <v>410</v>
      </c>
      <c r="P22" s="243"/>
      <c r="Q22" s="249"/>
      <c r="R22" s="253"/>
      <c r="S22" s="243"/>
      <c r="T22" s="249"/>
    </row>
    <row r="23" spans="1:20" ht="15" customHeight="1">
      <c r="A23" s="260">
        <f t="shared" si="5"/>
        <v>21</v>
      </c>
      <c r="B23" s="262" t="s">
        <v>181</v>
      </c>
      <c r="C23" s="253">
        <v>460.80328205128205</v>
      </c>
      <c r="D23" s="243">
        <v>499</v>
      </c>
      <c r="E23" s="249">
        <f t="shared" si="2"/>
        <v>38.196717948717946</v>
      </c>
      <c r="F23" s="253">
        <v>236.03194871794869</v>
      </c>
      <c r="G23" s="243">
        <v>299</v>
      </c>
      <c r="H23" s="249">
        <f t="shared" si="3"/>
        <v>62.968051282051306</v>
      </c>
      <c r="I23" s="253">
        <v>70.004882051282067</v>
      </c>
      <c r="J23" s="243">
        <v>89</v>
      </c>
      <c r="K23" s="249">
        <f t="shared" si="0"/>
        <v>18.995117948717933</v>
      </c>
      <c r="L23" s="253" t="s">
        <v>410</v>
      </c>
      <c r="M23" s="243" t="s">
        <v>410</v>
      </c>
      <c r="N23" s="249"/>
      <c r="O23" s="253" t="s">
        <v>410</v>
      </c>
      <c r="P23" s="243"/>
      <c r="Q23" s="249"/>
      <c r="R23" s="253"/>
      <c r="S23" s="243"/>
      <c r="T23" s="249"/>
    </row>
    <row r="24" spans="1:20" ht="15" customHeight="1">
      <c r="A24" s="260">
        <f t="shared" si="5"/>
        <v>22</v>
      </c>
      <c r="B24" s="262" t="s">
        <v>183</v>
      </c>
      <c r="C24" s="253">
        <v>455.30328205128205</v>
      </c>
      <c r="D24" s="243">
        <v>499</v>
      </c>
      <c r="E24" s="249">
        <f t="shared" si="2"/>
        <v>43.696717948717946</v>
      </c>
      <c r="F24" s="253">
        <v>233.28194871794869</v>
      </c>
      <c r="G24" s="243">
        <v>299</v>
      </c>
      <c r="H24" s="249">
        <f t="shared" si="3"/>
        <v>65.718051282051306</v>
      </c>
      <c r="I24" s="253">
        <v>69.45488205128207</v>
      </c>
      <c r="J24" s="243">
        <v>89</v>
      </c>
      <c r="K24" s="249">
        <f t="shared" si="0"/>
        <v>19.54511794871793</v>
      </c>
      <c r="L24" s="253" t="s">
        <v>410</v>
      </c>
      <c r="M24" s="243" t="s">
        <v>410</v>
      </c>
      <c r="N24" s="249"/>
      <c r="O24" s="253" t="s">
        <v>410</v>
      </c>
      <c r="P24" s="243"/>
      <c r="Q24" s="249"/>
      <c r="R24" s="253"/>
      <c r="S24" s="243"/>
      <c r="T24" s="249"/>
    </row>
    <row r="25" spans="1:20" ht="15" customHeight="1">
      <c r="A25" s="260">
        <f t="shared" si="5"/>
        <v>23</v>
      </c>
      <c r="B25" s="262" t="s">
        <v>185</v>
      </c>
      <c r="C25" s="253">
        <v>807.30328205128205</v>
      </c>
      <c r="D25" s="243">
        <v>799</v>
      </c>
      <c r="E25" s="249">
        <f t="shared" si="2"/>
        <v>-8.3032820512820535</v>
      </c>
      <c r="F25" s="253">
        <v>409.28194871794869</v>
      </c>
      <c r="G25" s="243">
        <v>479</v>
      </c>
      <c r="H25" s="249">
        <f t="shared" si="3"/>
        <v>69.718051282051306</v>
      </c>
      <c r="I25" s="253">
        <v>104.65488205128203</v>
      </c>
      <c r="J25" s="243">
        <v>109</v>
      </c>
      <c r="K25" s="249">
        <f t="shared" si="0"/>
        <v>4.3451179487179701</v>
      </c>
      <c r="L25" s="253" t="s">
        <v>410</v>
      </c>
      <c r="M25" s="243" t="s">
        <v>410</v>
      </c>
      <c r="N25" s="249"/>
      <c r="O25" s="253" t="s">
        <v>410</v>
      </c>
      <c r="P25" s="243"/>
      <c r="Q25" s="249"/>
      <c r="R25" s="253"/>
      <c r="S25" s="243"/>
      <c r="T25" s="249"/>
    </row>
    <row r="26" spans="1:20" ht="15" customHeight="1">
      <c r="A26" s="260">
        <f t="shared" si="5"/>
        <v>24</v>
      </c>
      <c r="B26" s="262" t="s">
        <v>187</v>
      </c>
      <c r="C26" s="253">
        <v>387.47728205128203</v>
      </c>
      <c r="D26" s="243">
        <v>369</v>
      </c>
      <c r="E26" s="249">
        <f t="shared" si="2"/>
        <v>-18.477282051282032</v>
      </c>
      <c r="F26" s="253">
        <v>199.36894871794871</v>
      </c>
      <c r="G26" s="243">
        <v>219</v>
      </c>
      <c r="H26" s="249">
        <f t="shared" si="3"/>
        <v>19.631051282051288</v>
      </c>
      <c r="I26" s="253">
        <v>62.67228205128206</v>
      </c>
      <c r="J26" s="243">
        <v>59</v>
      </c>
      <c r="K26" s="249">
        <f t="shared" si="0"/>
        <v>-3.6722820512820604</v>
      </c>
      <c r="L26" s="253" t="s">
        <v>410</v>
      </c>
      <c r="M26" s="243" t="s">
        <v>410</v>
      </c>
      <c r="N26" s="249"/>
      <c r="O26" s="253" t="s">
        <v>410</v>
      </c>
      <c r="P26" s="243"/>
      <c r="Q26" s="249"/>
      <c r="R26" s="253"/>
      <c r="S26" s="243"/>
      <c r="T26" s="249"/>
    </row>
    <row r="27" spans="1:20" ht="15" customHeight="1">
      <c r="A27" s="260">
        <f t="shared" si="5"/>
        <v>25</v>
      </c>
      <c r="B27" s="262" t="s">
        <v>189</v>
      </c>
      <c r="C27" s="253">
        <v>638.33228205128205</v>
      </c>
      <c r="D27" s="243">
        <v>899</v>
      </c>
      <c r="E27" s="249">
        <f t="shared" si="2"/>
        <v>260.66771794871795</v>
      </c>
      <c r="F27" s="253">
        <v>324.79644871794869</v>
      </c>
      <c r="G27" s="243">
        <v>569</v>
      </c>
      <c r="H27" s="249">
        <f t="shared" si="3"/>
        <v>244.20355128205131</v>
      </c>
      <c r="I27" s="253">
        <v>87.757782051282064</v>
      </c>
      <c r="J27" s="243">
        <v>129</v>
      </c>
      <c r="K27" s="249">
        <f t="shared" si="0"/>
        <v>41.242217948717936</v>
      </c>
      <c r="L27" s="253" t="s">
        <v>410</v>
      </c>
      <c r="M27" s="243" t="s">
        <v>410</v>
      </c>
      <c r="N27" s="249"/>
      <c r="O27" s="253" t="s">
        <v>410</v>
      </c>
      <c r="P27" s="243"/>
      <c r="Q27" s="249"/>
      <c r="R27" s="253"/>
      <c r="S27" s="243"/>
      <c r="T27" s="249"/>
    </row>
    <row r="28" spans="1:20" ht="15" customHeight="1">
      <c r="A28" s="260">
        <f t="shared" si="5"/>
        <v>26</v>
      </c>
      <c r="B28" s="261" t="s">
        <v>19</v>
      </c>
      <c r="C28" s="253">
        <v>743.64628205128213</v>
      </c>
      <c r="D28" s="243">
        <v>1899</v>
      </c>
      <c r="E28" s="249">
        <f t="shared" si="2"/>
        <v>1155.353717948718</v>
      </c>
      <c r="F28" s="253">
        <v>380.04724871794872</v>
      </c>
      <c r="G28" s="243">
        <v>1139</v>
      </c>
      <c r="H28" s="249">
        <f t="shared" si="3"/>
        <v>758.95275128205128</v>
      </c>
      <c r="I28" s="253">
        <v>100.02498205128207</v>
      </c>
      <c r="J28" s="243">
        <v>259</v>
      </c>
      <c r="K28" s="249">
        <f t="shared" si="0"/>
        <v>158.97501794871795</v>
      </c>
      <c r="L28" s="253">
        <v>60.673482051282058</v>
      </c>
      <c r="M28" s="243">
        <v>159</v>
      </c>
      <c r="N28" s="249">
        <f t="shared" si="4"/>
        <v>98.326517948717935</v>
      </c>
      <c r="O28" s="253" t="s">
        <v>410</v>
      </c>
      <c r="P28" s="243"/>
      <c r="Q28" s="249"/>
      <c r="R28" s="253"/>
      <c r="S28" s="243"/>
      <c r="T28" s="249"/>
    </row>
    <row r="29" spans="1:20" ht="15" customHeight="1">
      <c r="A29" s="260">
        <f t="shared" si="5"/>
        <v>27</v>
      </c>
      <c r="B29" s="261" t="s">
        <v>75</v>
      </c>
      <c r="C29" s="253">
        <v>449.92055671794873</v>
      </c>
      <c r="D29" s="243">
        <v>749</v>
      </c>
      <c r="E29" s="249">
        <f t="shared" si="2"/>
        <v>299.07944328205127</v>
      </c>
      <c r="F29" s="253">
        <v>230.590586051282</v>
      </c>
      <c r="G29" s="243">
        <v>449</v>
      </c>
      <c r="H29" s="249">
        <f t="shared" si="3"/>
        <v>218.409413948718</v>
      </c>
      <c r="I29" s="253">
        <v>68.916609517948729</v>
      </c>
      <c r="J29" s="243">
        <v>99</v>
      </c>
      <c r="K29" s="249">
        <f t="shared" si="0"/>
        <v>30.083390482051271</v>
      </c>
      <c r="L29" s="253" t="s">
        <v>410</v>
      </c>
      <c r="M29" s="243" t="s">
        <v>410</v>
      </c>
      <c r="N29" s="249"/>
      <c r="O29" s="253" t="s">
        <v>410</v>
      </c>
      <c r="P29" s="243"/>
      <c r="Q29" s="249"/>
      <c r="R29" s="253"/>
      <c r="S29" s="243"/>
      <c r="T29" s="249"/>
    </row>
    <row r="30" spans="1:20" ht="15" customHeight="1">
      <c r="A30" s="260">
        <f t="shared" si="5"/>
        <v>28</v>
      </c>
      <c r="B30" s="261" t="s">
        <v>76</v>
      </c>
      <c r="C30" s="253">
        <v>637.5827957417581</v>
      </c>
      <c r="D30" s="243">
        <v>749</v>
      </c>
      <c r="E30" s="249">
        <f t="shared" si="2"/>
        <v>111.4172042582419</v>
      </c>
      <c r="F30" s="253">
        <v>324.42170556318672</v>
      </c>
      <c r="G30" s="243">
        <v>449</v>
      </c>
      <c r="H30" s="249">
        <f t="shared" si="3"/>
        <v>124.57829443681328</v>
      </c>
      <c r="I30" s="253">
        <v>87.682833420329672</v>
      </c>
      <c r="J30" s="243">
        <v>99</v>
      </c>
      <c r="K30" s="249">
        <f t="shared" si="0"/>
        <v>11.317166579670328</v>
      </c>
      <c r="L30" s="253" t="s">
        <v>410</v>
      </c>
      <c r="M30" s="243" t="s">
        <v>410</v>
      </c>
      <c r="N30" s="249"/>
      <c r="O30" s="253" t="s">
        <v>410</v>
      </c>
      <c r="P30" s="243"/>
      <c r="Q30" s="249"/>
      <c r="R30" s="253"/>
      <c r="S30" s="243"/>
      <c r="T30" s="249"/>
    </row>
    <row r="31" spans="1:20" ht="15" customHeight="1">
      <c r="A31" s="260">
        <f t="shared" si="5"/>
        <v>29</v>
      </c>
      <c r="B31" s="308" t="s">
        <v>452</v>
      </c>
      <c r="C31" s="253">
        <v>1190.8077416684625</v>
      </c>
      <c r="D31" s="243">
        <v>1299</v>
      </c>
      <c r="E31" s="249">
        <f t="shared" si="2"/>
        <v>108.19225833153746</v>
      </c>
      <c r="F31" s="253">
        <v>601.03417852653888</v>
      </c>
      <c r="G31" s="243">
        <v>819</v>
      </c>
      <c r="H31" s="249">
        <f t="shared" si="3"/>
        <v>217.96582147346112</v>
      </c>
      <c r="I31" s="253">
        <v>143.00532801300011</v>
      </c>
      <c r="J31" s="243">
        <v>159</v>
      </c>
      <c r="K31" s="249">
        <f t="shared" si="0"/>
        <v>15.99467198699989</v>
      </c>
      <c r="L31" s="253">
        <v>81.065305032141069</v>
      </c>
      <c r="M31" s="243">
        <v>99</v>
      </c>
      <c r="N31" s="249">
        <f t="shared" si="4"/>
        <v>17.934694967858931</v>
      </c>
      <c r="O31" s="253" t="s">
        <v>410</v>
      </c>
      <c r="P31" s="243"/>
      <c r="Q31" s="249"/>
      <c r="R31" s="253"/>
      <c r="S31" s="243"/>
      <c r="T31" s="249"/>
    </row>
    <row r="32" spans="1:20" ht="15" customHeight="1">
      <c r="A32" s="260">
        <f t="shared" si="5"/>
        <v>30</v>
      </c>
      <c r="B32" s="261" t="s">
        <v>195</v>
      </c>
      <c r="C32" s="253">
        <v>426.22402427350426</v>
      </c>
      <c r="D32" s="243">
        <v>749</v>
      </c>
      <c r="E32" s="249">
        <f t="shared" si="2"/>
        <v>322.77597572649574</v>
      </c>
      <c r="F32" s="253">
        <v>218.7423198290598</v>
      </c>
      <c r="G32" s="243">
        <v>449</v>
      </c>
      <c r="H32" s="249">
        <f t="shared" si="3"/>
        <v>230.2576801709402</v>
      </c>
      <c r="I32" s="253">
        <v>66.546956273504279</v>
      </c>
      <c r="J32" s="243">
        <v>99</v>
      </c>
      <c r="K32" s="249">
        <f t="shared" si="0"/>
        <v>32.453043726495721</v>
      </c>
      <c r="L32" s="253" t="s">
        <v>410</v>
      </c>
      <c r="M32" s="243" t="s">
        <v>410</v>
      </c>
      <c r="N32" s="249"/>
      <c r="O32" s="253" t="s">
        <v>410</v>
      </c>
      <c r="P32" s="243"/>
      <c r="Q32" s="249"/>
      <c r="R32" s="253"/>
      <c r="S32" s="243"/>
      <c r="T32" s="249"/>
    </row>
    <row r="33" spans="1:20" ht="15" customHeight="1">
      <c r="A33" s="260">
        <f t="shared" si="5"/>
        <v>31</v>
      </c>
      <c r="B33" s="261" t="s">
        <v>197</v>
      </c>
      <c r="C33" s="253">
        <v>545.7407789566754</v>
      </c>
      <c r="D33" s="243">
        <v>749</v>
      </c>
      <c r="E33" s="249">
        <f t="shared" si="2"/>
        <v>203.2592210433246</v>
      </c>
      <c r="F33" s="253">
        <v>278.50069717064537</v>
      </c>
      <c r="G33" s="243">
        <v>449</v>
      </c>
      <c r="H33" s="249">
        <f t="shared" si="3"/>
        <v>170.49930282935463</v>
      </c>
      <c r="I33" s="253">
        <v>78.498631741821384</v>
      </c>
      <c r="J33" s="243">
        <v>99</v>
      </c>
      <c r="K33" s="249">
        <f t="shared" si="0"/>
        <v>20.501368258178616</v>
      </c>
      <c r="L33" s="253" t="s">
        <v>410</v>
      </c>
      <c r="M33" s="243" t="s">
        <v>410</v>
      </c>
      <c r="N33" s="249"/>
      <c r="O33" s="253" t="s">
        <v>410</v>
      </c>
      <c r="P33" s="243"/>
      <c r="Q33" s="249"/>
      <c r="R33" s="253"/>
      <c r="S33" s="243"/>
      <c r="T33" s="249"/>
    </row>
    <row r="34" spans="1:20" ht="15" customHeight="1">
      <c r="A34" s="260">
        <f t="shared" si="5"/>
        <v>32</v>
      </c>
      <c r="B34" s="261" t="s">
        <v>199</v>
      </c>
      <c r="C34" s="253">
        <v>1075.8755156113727</v>
      </c>
      <c r="D34" s="243">
        <v>1299</v>
      </c>
      <c r="E34" s="249">
        <f t="shared" si="2"/>
        <v>223.12448438862725</v>
      </c>
      <c r="F34" s="253">
        <v>543.56806549799398</v>
      </c>
      <c r="G34" s="243">
        <v>819</v>
      </c>
      <c r="H34" s="249">
        <f t="shared" si="3"/>
        <v>275.43193450200602</v>
      </c>
      <c r="I34" s="253">
        <v>131.51210540729113</v>
      </c>
      <c r="J34" s="243">
        <v>159</v>
      </c>
      <c r="K34" s="249">
        <f t="shared" si="0"/>
        <v>27.487894592708869</v>
      </c>
      <c r="L34" s="253">
        <v>75.318693729286593</v>
      </c>
      <c r="M34" s="243">
        <v>99</v>
      </c>
      <c r="N34" s="249">
        <f t="shared" si="4"/>
        <v>23.681306270713407</v>
      </c>
      <c r="O34" s="253" t="s">
        <v>410</v>
      </c>
      <c r="P34" s="243"/>
      <c r="Q34" s="249"/>
      <c r="R34" s="253"/>
      <c r="S34" s="243"/>
      <c r="T34" s="249"/>
    </row>
    <row r="35" spans="1:20" ht="15" customHeight="1">
      <c r="A35" s="260">
        <f t="shared" si="5"/>
        <v>33</v>
      </c>
      <c r="B35" s="261" t="s">
        <v>6</v>
      </c>
      <c r="C35" s="253">
        <v>731.77650329022015</v>
      </c>
      <c r="D35" s="243">
        <v>749</v>
      </c>
      <c r="E35" s="249">
        <f t="shared" si="2"/>
        <v>17.223496709779852</v>
      </c>
      <c r="F35" s="253">
        <v>371.51855933741768</v>
      </c>
      <c r="G35" s="243">
        <v>449</v>
      </c>
      <c r="H35" s="249">
        <f t="shared" si="3"/>
        <v>77.481440662582315</v>
      </c>
      <c r="I35" s="253">
        <v>97.102204175175856</v>
      </c>
      <c r="J35" s="243">
        <v>99</v>
      </c>
      <c r="K35" s="249">
        <f t="shared" si="0"/>
        <v>1.8977958248241436</v>
      </c>
      <c r="L35" s="253" t="s">
        <v>410</v>
      </c>
      <c r="M35" s="243" t="s">
        <v>410</v>
      </c>
      <c r="N35" s="249"/>
      <c r="O35" s="253" t="s">
        <v>410</v>
      </c>
      <c r="P35" s="243"/>
      <c r="Q35" s="249"/>
      <c r="R35" s="253"/>
      <c r="S35" s="243"/>
      <c r="T35" s="249"/>
    </row>
    <row r="36" spans="1:20" ht="15" customHeight="1">
      <c r="A36" s="260">
        <f t="shared" si="5"/>
        <v>34</v>
      </c>
      <c r="B36" s="261" t="s">
        <v>20</v>
      </c>
      <c r="C36" s="253">
        <v>520.38338625296274</v>
      </c>
      <c r="D36" s="243">
        <v>749</v>
      </c>
      <c r="E36" s="249">
        <f t="shared" si="2"/>
        <v>228.61661374703726</v>
      </c>
      <c r="F36" s="253">
        <v>265.82200081878904</v>
      </c>
      <c r="G36" s="243">
        <v>449</v>
      </c>
      <c r="H36" s="249">
        <f t="shared" si="3"/>
        <v>183.17799918121096</v>
      </c>
      <c r="I36" s="253">
        <v>75.962892471450132</v>
      </c>
      <c r="J36" s="243">
        <v>99</v>
      </c>
      <c r="K36" s="249">
        <f t="shared" si="0"/>
        <v>23.037107528549868</v>
      </c>
      <c r="L36" s="253" t="s">
        <v>410</v>
      </c>
      <c r="M36" s="243" t="s">
        <v>410</v>
      </c>
      <c r="N36" s="249"/>
      <c r="O36" s="253" t="s">
        <v>410</v>
      </c>
      <c r="P36" s="243"/>
      <c r="Q36" s="249"/>
      <c r="R36" s="253"/>
      <c r="S36" s="243"/>
      <c r="T36" s="249"/>
    </row>
    <row r="37" spans="1:20" ht="15" customHeight="1">
      <c r="A37" s="260">
        <f t="shared" si="5"/>
        <v>35</v>
      </c>
      <c r="B37" s="261" t="s">
        <v>7</v>
      </c>
      <c r="C37" s="253">
        <v>1627.9160441872039</v>
      </c>
      <c r="D37" s="243">
        <v>1899</v>
      </c>
      <c r="E37" s="249">
        <f t="shared" si="2"/>
        <v>271.08395581279615</v>
      </c>
      <c r="F37" s="253">
        <v>819.58832978590976</v>
      </c>
      <c r="G37" s="243">
        <v>1139</v>
      </c>
      <c r="H37" s="249">
        <f t="shared" si="3"/>
        <v>319.41167021409024</v>
      </c>
      <c r="I37" s="253">
        <v>186.7161582648742</v>
      </c>
      <c r="J37" s="243">
        <v>259</v>
      </c>
      <c r="K37" s="249">
        <f t="shared" si="0"/>
        <v>72.283841735125804</v>
      </c>
      <c r="L37" s="253">
        <v>102.92072015807815</v>
      </c>
      <c r="M37" s="243">
        <v>159</v>
      </c>
      <c r="N37" s="249">
        <f t="shared" si="4"/>
        <v>56.079279841921846</v>
      </c>
      <c r="O37" s="253" t="s">
        <v>410</v>
      </c>
      <c r="P37" s="243"/>
      <c r="Q37" s="249"/>
      <c r="R37" s="253"/>
      <c r="S37" s="243"/>
      <c r="T37" s="249"/>
    </row>
    <row r="38" spans="1:20" ht="15" customHeight="1">
      <c r="A38" s="260">
        <f t="shared" si="5"/>
        <v>36</v>
      </c>
      <c r="B38" s="262" t="s">
        <v>204</v>
      </c>
      <c r="C38" s="253" t="s">
        <v>410</v>
      </c>
      <c r="D38" s="243" t="s">
        <v>410</v>
      </c>
      <c r="E38" s="249"/>
      <c r="F38" s="253" t="s">
        <v>410</v>
      </c>
      <c r="G38" s="243" t="s">
        <v>410</v>
      </c>
      <c r="H38" s="249"/>
      <c r="I38" s="253" t="s">
        <v>410</v>
      </c>
      <c r="J38" s="243" t="s">
        <v>410</v>
      </c>
      <c r="K38" s="249"/>
      <c r="L38" s="253" t="s">
        <v>410</v>
      </c>
      <c r="M38" s="243"/>
      <c r="N38" s="249"/>
      <c r="O38" s="253" t="s">
        <v>410</v>
      </c>
      <c r="P38" s="243"/>
      <c r="Q38" s="249"/>
      <c r="R38" s="253">
        <v>224</v>
      </c>
      <c r="S38" s="243">
        <v>409</v>
      </c>
      <c r="T38" s="249">
        <f>S38-R38</f>
        <v>185</v>
      </c>
    </row>
    <row r="39" spans="1:20" ht="15" customHeight="1">
      <c r="A39" s="260">
        <f t="shared" si="5"/>
        <v>37</v>
      </c>
      <c r="B39" s="261" t="s">
        <v>206</v>
      </c>
      <c r="C39" s="253">
        <v>417.5540041250394</v>
      </c>
      <c r="D39" s="243">
        <v>569</v>
      </c>
      <c r="E39" s="249">
        <f t="shared" si="2"/>
        <v>151.4459958749606</v>
      </c>
      <c r="F39" s="253">
        <v>217.00110975482735</v>
      </c>
      <c r="G39" s="243">
        <v>359</v>
      </c>
      <c r="H39" s="249">
        <f t="shared" si="3"/>
        <v>141.99889024517265</v>
      </c>
      <c r="I39" s="253">
        <v>67.415754258657785</v>
      </c>
      <c r="J39" s="243">
        <v>79</v>
      </c>
      <c r="K39" s="249">
        <f t="shared" ref="K39:K45" si="6">J39-I39</f>
        <v>11.584245741342215</v>
      </c>
      <c r="L39" s="253" t="s">
        <v>410</v>
      </c>
      <c r="M39" s="243" t="s">
        <v>410</v>
      </c>
      <c r="N39" s="249"/>
      <c r="O39" s="253" t="s">
        <v>410</v>
      </c>
      <c r="P39" s="243"/>
      <c r="Q39" s="249"/>
      <c r="R39" s="253"/>
      <c r="S39" s="243"/>
      <c r="T39" s="249"/>
    </row>
    <row r="40" spans="1:20" ht="15" customHeight="1">
      <c r="A40" s="260">
        <f t="shared" si="5"/>
        <v>38</v>
      </c>
      <c r="B40" s="261" t="s">
        <v>208</v>
      </c>
      <c r="C40" s="253">
        <v>394.74497325128203</v>
      </c>
      <c r="D40" s="243">
        <v>569</v>
      </c>
      <c r="E40" s="249">
        <f t="shared" si="2"/>
        <v>174.25502674871797</v>
      </c>
      <c r="F40" s="253">
        <v>205.5965943179487</v>
      </c>
      <c r="G40" s="243">
        <v>359</v>
      </c>
      <c r="H40" s="249">
        <f t="shared" si="3"/>
        <v>153.4034056820513</v>
      </c>
      <c r="I40" s="253">
        <v>65.134851171282065</v>
      </c>
      <c r="J40" s="243">
        <v>79</v>
      </c>
      <c r="K40" s="249">
        <f t="shared" si="6"/>
        <v>13.865148828717935</v>
      </c>
      <c r="L40" s="253" t="s">
        <v>410</v>
      </c>
      <c r="M40" s="243"/>
      <c r="N40" s="249"/>
      <c r="O40" s="253" t="s">
        <v>410</v>
      </c>
      <c r="P40" s="243"/>
      <c r="Q40" s="249"/>
      <c r="R40" s="253"/>
      <c r="S40" s="243"/>
      <c r="T40" s="249"/>
    </row>
    <row r="41" spans="1:20" ht="15" customHeight="1">
      <c r="A41" s="260">
        <f t="shared" si="5"/>
        <v>39</v>
      </c>
      <c r="B41" s="261" t="s">
        <v>210</v>
      </c>
      <c r="C41" s="253">
        <v>370.76859361382753</v>
      </c>
      <c r="D41" s="243">
        <v>569</v>
      </c>
      <c r="E41" s="249">
        <f t="shared" si="2"/>
        <v>198.23140638617247</v>
      </c>
      <c r="F41" s="253">
        <v>193.60840449922148</v>
      </c>
      <c r="G41" s="243">
        <v>359</v>
      </c>
      <c r="H41" s="249">
        <f t="shared" si="3"/>
        <v>165.39159550077852</v>
      </c>
      <c r="I41" s="253">
        <v>62.737213207536598</v>
      </c>
      <c r="J41" s="243">
        <v>79</v>
      </c>
      <c r="K41" s="249">
        <f t="shared" si="6"/>
        <v>16.262786792463402</v>
      </c>
      <c r="L41" s="253" t="s">
        <v>410</v>
      </c>
      <c r="M41" s="243"/>
      <c r="N41" s="249"/>
      <c r="O41" s="253" t="s">
        <v>410</v>
      </c>
      <c r="P41" s="243"/>
      <c r="Q41" s="249"/>
      <c r="R41" s="253"/>
      <c r="S41" s="243"/>
      <c r="T41" s="249"/>
    </row>
    <row r="42" spans="1:20" ht="15" customHeight="1">
      <c r="A42" s="260">
        <f t="shared" si="5"/>
        <v>40</v>
      </c>
      <c r="B42" s="261" t="s">
        <v>212</v>
      </c>
      <c r="C42" s="253">
        <v>468.2662033958199</v>
      </c>
      <c r="D42" s="243">
        <v>569</v>
      </c>
      <c r="E42" s="249">
        <f t="shared" si="2"/>
        <v>100.7337966041801</v>
      </c>
      <c r="F42" s="253">
        <v>242.35720939021761</v>
      </c>
      <c r="G42" s="243">
        <v>359</v>
      </c>
      <c r="H42" s="249">
        <f t="shared" si="3"/>
        <v>116.64279060978239</v>
      </c>
      <c r="I42" s="253">
        <v>72.486974185735832</v>
      </c>
      <c r="J42" s="243">
        <v>79</v>
      </c>
      <c r="K42" s="249">
        <f t="shared" si="6"/>
        <v>6.5130258142641679</v>
      </c>
      <c r="L42" s="253" t="s">
        <v>410</v>
      </c>
      <c r="M42" s="243"/>
      <c r="N42" s="249"/>
      <c r="O42" s="253" t="s">
        <v>410</v>
      </c>
      <c r="P42" s="243"/>
      <c r="Q42" s="249"/>
      <c r="R42" s="253"/>
      <c r="S42" s="243"/>
      <c r="T42" s="249"/>
    </row>
    <row r="43" spans="1:20" ht="15" customHeight="1">
      <c r="A43" s="260">
        <f t="shared" si="5"/>
        <v>41</v>
      </c>
      <c r="B43" s="261" t="s">
        <v>214</v>
      </c>
      <c r="C43" s="253">
        <v>301.53123589743592</v>
      </c>
      <c r="D43" s="243">
        <v>569</v>
      </c>
      <c r="E43" s="249">
        <f t="shared" si="2"/>
        <v>267.46876410256408</v>
      </c>
      <c r="F43" s="253">
        <v>158.98972564102567</v>
      </c>
      <c r="G43" s="243">
        <v>359</v>
      </c>
      <c r="H43" s="249">
        <f t="shared" si="3"/>
        <v>200.01027435897433</v>
      </c>
      <c r="I43" s="253">
        <v>55.81347743589744</v>
      </c>
      <c r="J43" s="243">
        <v>79</v>
      </c>
      <c r="K43" s="249">
        <f t="shared" si="6"/>
        <v>23.18652256410256</v>
      </c>
      <c r="L43" s="253" t="s">
        <v>410</v>
      </c>
      <c r="M43" s="243"/>
      <c r="N43" s="249"/>
      <c r="O43" s="253" t="s">
        <v>410</v>
      </c>
      <c r="P43" s="243"/>
      <c r="Q43" s="249"/>
      <c r="R43" s="253"/>
      <c r="S43" s="243"/>
      <c r="T43" s="249"/>
    </row>
    <row r="44" spans="1:20" ht="15" customHeight="1">
      <c r="A44" s="260">
        <f>+A43+1</f>
        <v>42</v>
      </c>
      <c r="B44" s="261" t="s">
        <v>18</v>
      </c>
      <c r="C44" s="253">
        <v>920.27968342909196</v>
      </c>
      <c r="D44" s="243">
        <v>1559</v>
      </c>
      <c r="E44" s="249">
        <f t="shared" si="2"/>
        <v>638.72031657090804</v>
      </c>
      <c r="F44" s="253">
        <v>468.36394940685369</v>
      </c>
      <c r="G44" s="243">
        <v>939</v>
      </c>
      <c r="H44" s="249">
        <f t="shared" si="3"/>
        <v>470.63605059314631</v>
      </c>
      <c r="I44" s="253">
        <v>117.68832218906304</v>
      </c>
      <c r="J44" s="243">
        <v>199</v>
      </c>
      <c r="K44" s="249">
        <f t="shared" si="6"/>
        <v>81.311677810936956</v>
      </c>
      <c r="L44" s="253" t="s">
        <v>410</v>
      </c>
      <c r="M44" s="243"/>
      <c r="N44" s="249"/>
      <c r="O44" s="253" t="s">
        <v>410</v>
      </c>
      <c r="P44" s="243"/>
      <c r="Q44" s="249"/>
      <c r="R44" s="253"/>
      <c r="S44" s="243"/>
      <c r="T44" s="249"/>
    </row>
    <row r="45" spans="1:20" ht="15" customHeight="1">
      <c r="A45" s="260">
        <f t="shared" si="5"/>
        <v>43</v>
      </c>
      <c r="B45" s="261" t="s">
        <v>217</v>
      </c>
      <c r="C45" s="253">
        <v>514.85592820512829</v>
      </c>
      <c r="D45" s="243">
        <v>629</v>
      </c>
      <c r="E45" s="249">
        <f t="shared" si="2"/>
        <v>114.14407179487171</v>
      </c>
      <c r="F45" s="253">
        <v>257.42796410256415</v>
      </c>
      <c r="G45" s="243">
        <v>369</v>
      </c>
      <c r="H45" s="249">
        <f t="shared" si="3"/>
        <v>111.57203589743585</v>
      </c>
      <c r="I45" s="253">
        <v>131</v>
      </c>
      <c r="J45" s="243">
        <v>199</v>
      </c>
      <c r="K45" s="249">
        <f t="shared" si="6"/>
        <v>68</v>
      </c>
      <c r="L45" s="253" t="s">
        <v>410</v>
      </c>
      <c r="M45" s="243"/>
      <c r="N45" s="249"/>
      <c r="O45" s="253" t="s">
        <v>410</v>
      </c>
      <c r="P45" s="243"/>
      <c r="Q45" s="249"/>
      <c r="R45" s="253"/>
      <c r="S45" s="243"/>
      <c r="T45" s="249"/>
    </row>
    <row r="46" spans="1:20" ht="15" customHeight="1">
      <c r="A46" s="260">
        <f>+A45+1</f>
        <v>44</v>
      </c>
      <c r="B46" s="261" t="s">
        <v>270</v>
      </c>
      <c r="C46" s="253">
        <v>1343.0658974358976</v>
      </c>
      <c r="D46" s="243"/>
      <c r="E46" s="249">
        <f t="shared" si="2"/>
        <v>-1343.0658974358976</v>
      </c>
      <c r="F46" s="253">
        <v>667.69394871794873</v>
      </c>
      <c r="G46" s="243"/>
      <c r="H46" s="249"/>
      <c r="I46" s="253">
        <v>168.07758205128204</v>
      </c>
      <c r="J46" s="243"/>
      <c r="K46" s="249"/>
      <c r="L46" s="253">
        <v>88.754282051282047</v>
      </c>
      <c r="M46" s="243"/>
      <c r="N46" s="249"/>
      <c r="O46" s="253">
        <v>54.45128205128205</v>
      </c>
      <c r="P46" s="243"/>
      <c r="Q46" s="249"/>
      <c r="R46" s="253"/>
      <c r="S46" s="243"/>
      <c r="T46" s="249"/>
    </row>
    <row r="47" spans="1:20" ht="15" customHeight="1">
      <c r="A47" s="260">
        <f t="shared" si="5"/>
        <v>45</v>
      </c>
      <c r="B47" s="261" t="s">
        <v>272</v>
      </c>
      <c r="C47" s="253">
        <v>1702.1134725274724</v>
      </c>
      <c r="D47" s="243"/>
      <c r="E47" s="249">
        <f t="shared" si="2"/>
        <v>-1702.1134725274724</v>
      </c>
      <c r="F47" s="253">
        <v>856.68704395604391</v>
      </c>
      <c r="G47" s="243"/>
      <c r="H47" s="249"/>
      <c r="I47" s="253">
        <v>195.15890109890105</v>
      </c>
      <c r="J47" s="243"/>
      <c r="K47" s="249"/>
      <c r="L47" s="253">
        <v>107.65359157509157</v>
      </c>
      <c r="M47" s="243"/>
      <c r="N47" s="249"/>
      <c r="O47" s="253">
        <v>63.90093681318681</v>
      </c>
      <c r="P47" s="243"/>
      <c r="Q47" s="249"/>
      <c r="R47" s="253"/>
      <c r="S47" s="243"/>
      <c r="T47" s="249"/>
    </row>
    <row r="48" spans="1:20" ht="15" customHeight="1">
      <c r="A48" s="260">
        <f t="shared" si="5"/>
        <v>46</v>
      </c>
      <c r="B48" s="261" t="s">
        <v>288</v>
      </c>
      <c r="C48" s="253">
        <v>1366.8753772893772</v>
      </c>
      <c r="D48" s="243"/>
      <c r="E48" s="249">
        <f t="shared" si="2"/>
        <v>-1366.8753772893772</v>
      </c>
      <c r="F48" s="253">
        <v>689.06799633699632</v>
      </c>
      <c r="G48" s="243"/>
      <c r="H48" s="249"/>
      <c r="I48" s="253">
        <v>161.63509157509156</v>
      </c>
      <c r="J48" s="243"/>
      <c r="K48" s="249"/>
      <c r="L48" s="253">
        <v>90.891686813186809</v>
      </c>
      <c r="M48" s="243"/>
      <c r="N48" s="249"/>
      <c r="O48" s="253">
        <v>55.51998443223443</v>
      </c>
      <c r="P48" s="243"/>
      <c r="Q48" s="249"/>
      <c r="R48" s="253"/>
      <c r="S48" s="243"/>
      <c r="T48" s="249"/>
    </row>
    <row r="49" spans="1:20" ht="15" customHeight="1">
      <c r="A49" s="260">
        <f t="shared" si="5"/>
        <v>47</v>
      </c>
      <c r="B49" s="261" t="s">
        <v>17</v>
      </c>
      <c r="C49" s="253">
        <v>950.40312820512804</v>
      </c>
      <c r="D49" s="243"/>
      <c r="E49" s="249">
        <f t="shared" si="2"/>
        <v>-950.40312820512804</v>
      </c>
      <c r="F49" s="253">
        <v>475.20156410256402</v>
      </c>
      <c r="G49" s="243"/>
      <c r="H49" s="249"/>
      <c r="I49" s="253">
        <v>125.02358205128206</v>
      </c>
      <c r="J49" s="243"/>
      <c r="K49" s="249"/>
      <c r="L49" s="253">
        <v>67.22728205128206</v>
      </c>
      <c r="M49" s="243"/>
      <c r="N49" s="249"/>
      <c r="O49" s="253">
        <v>43.687782051282056</v>
      </c>
      <c r="P49" s="243"/>
      <c r="Q49" s="249"/>
      <c r="R49" s="253"/>
      <c r="S49" s="243"/>
      <c r="T49" s="249"/>
    </row>
    <row r="50" spans="1:20" ht="15" customHeight="1" thickBot="1">
      <c r="A50" s="263">
        <f t="shared" si="5"/>
        <v>48</v>
      </c>
      <c r="B50" s="264" t="s">
        <v>40</v>
      </c>
      <c r="C50" s="254">
        <v>257.23728205128208</v>
      </c>
      <c r="D50" s="251"/>
      <c r="E50" s="252">
        <f t="shared" si="2"/>
        <v>-257.23728205128208</v>
      </c>
      <c r="F50" s="254">
        <v>134.24894871794874</v>
      </c>
      <c r="G50" s="251"/>
      <c r="H50" s="252"/>
      <c r="I50" s="254">
        <v>50.671282051282056</v>
      </c>
      <c r="J50" s="251"/>
      <c r="K50" s="252"/>
      <c r="L50" s="254">
        <v>35.409782051282043</v>
      </c>
      <c r="M50" s="251"/>
      <c r="N50" s="252"/>
      <c r="O50" s="254">
        <v>27.779032051282051</v>
      </c>
      <c r="P50" s="251"/>
      <c r="Q50" s="252"/>
      <c r="R50" s="254"/>
      <c r="S50" s="251"/>
      <c r="T50" s="252"/>
    </row>
    <row r="51" spans="1:20" ht="15" customHeight="1">
      <c r="A51" s="233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</row>
    <row r="52" spans="1:20" ht="15" customHeight="1">
      <c r="A52" s="233"/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</row>
  </sheetData>
  <mergeCells count="6">
    <mergeCell ref="R1:T1"/>
    <mergeCell ref="C1:E1"/>
    <mergeCell ref="F1:H1"/>
    <mergeCell ref="I1:K1"/>
    <mergeCell ref="L1:N1"/>
    <mergeCell ref="O1:Q1"/>
  </mergeCells>
  <conditionalFormatting sqref="E3:E45 H3:H45 K3:K44 Q3:Q17 S38 N3:N44">
    <cfRule type="cellIs" dxfId="2" priority="3" operator="lessThan">
      <formula>0</formula>
    </cfRule>
  </conditionalFormatting>
  <conditionalFormatting sqref="T38">
    <cfRule type="cellIs" dxfId="1" priority="2" operator="lessThan">
      <formula>0</formula>
    </cfRule>
  </conditionalFormatting>
  <conditionalFormatting sqref="K4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989B-BF48-C24A-994E-8EB22057667A}">
  <dimension ref="A1:I8"/>
  <sheetViews>
    <sheetView zoomScale="184" workbookViewId="0">
      <selection activeCell="C6" sqref="C6"/>
    </sheetView>
  </sheetViews>
  <sheetFormatPr baseColWidth="10" defaultRowHeight="14"/>
  <cols>
    <col min="9" max="9" width="17.1640625" customWidth="1"/>
  </cols>
  <sheetData>
    <row r="1" spans="1:9" ht="15">
      <c r="A1" s="268"/>
      <c r="B1" s="269"/>
      <c r="C1" s="399" t="s">
        <v>408</v>
      </c>
      <c r="D1" s="399"/>
      <c r="E1" s="399"/>
      <c r="F1" s="399" t="s">
        <v>407</v>
      </c>
      <c r="G1" s="399"/>
      <c r="H1" s="399"/>
      <c r="I1" s="146"/>
    </row>
    <row r="2" spans="1:9" ht="16">
      <c r="A2" s="98" t="s">
        <v>147</v>
      </c>
      <c r="B2" s="238" t="s">
        <v>148</v>
      </c>
      <c r="C2" s="268" t="s">
        <v>437</v>
      </c>
      <c r="D2" s="269" t="s">
        <v>405</v>
      </c>
      <c r="E2" s="269" t="s">
        <v>438</v>
      </c>
      <c r="F2" s="268" t="s">
        <v>437</v>
      </c>
      <c r="G2" s="269" t="s">
        <v>405</v>
      </c>
      <c r="H2" s="269" t="s">
        <v>438</v>
      </c>
      <c r="I2" s="269" t="s">
        <v>442</v>
      </c>
    </row>
    <row r="3" spans="1:9" ht="32">
      <c r="A3" s="146">
        <v>1</v>
      </c>
      <c r="B3" s="244" t="s">
        <v>2</v>
      </c>
      <c r="C3" s="242">
        <v>70</v>
      </c>
      <c r="D3" s="242">
        <f>'Old Cost'!J12</f>
        <v>59</v>
      </c>
      <c r="E3" s="270">
        <f>D3-C3</f>
        <v>-11</v>
      </c>
      <c r="F3" s="242">
        <f>'Old Cost'!L12</f>
        <v>55.160692820512821</v>
      </c>
      <c r="G3" s="242">
        <f>'Old Cost'!M12</f>
        <v>39</v>
      </c>
      <c r="H3" s="270">
        <f>G3-F3</f>
        <v>-16.160692820512821</v>
      </c>
      <c r="I3" s="146">
        <v>162</v>
      </c>
    </row>
    <row r="4" spans="1:9" ht="32">
      <c r="A4" s="146">
        <v>2</v>
      </c>
      <c r="B4" s="244" t="s">
        <v>41</v>
      </c>
      <c r="C4" s="242">
        <v>54</v>
      </c>
      <c r="D4" s="242">
        <f>'Old Cost'!J14</f>
        <v>49</v>
      </c>
      <c r="E4" s="270">
        <f>D4-C4</f>
        <v>-5</v>
      </c>
      <c r="F4" s="146"/>
      <c r="G4" s="146"/>
      <c r="H4" s="146"/>
      <c r="I4" s="146">
        <v>102</v>
      </c>
    </row>
    <row r="5" spans="1:9" ht="16">
      <c r="A5" s="146">
        <v>3</v>
      </c>
      <c r="B5" s="244" t="s">
        <v>3</v>
      </c>
      <c r="C5" s="146"/>
      <c r="D5" s="146"/>
      <c r="E5" s="271"/>
      <c r="F5" s="243">
        <f>'Old Cost'!L13</f>
        <v>61.320692820512825</v>
      </c>
      <c r="G5" s="243">
        <f>'Old Cost'!M13</f>
        <v>59</v>
      </c>
      <c r="H5" s="270">
        <f>G5-F5</f>
        <v>-2.320692820512825</v>
      </c>
      <c r="I5" s="146"/>
    </row>
    <row r="6" spans="1:9" ht="64">
      <c r="A6" s="146">
        <v>4</v>
      </c>
      <c r="B6" s="244" t="s">
        <v>185</v>
      </c>
      <c r="C6" s="242">
        <f>'Old Cost'!I25</f>
        <v>111.40565282051283</v>
      </c>
      <c r="D6" s="242">
        <f>'Old Cost'!J25</f>
        <v>109</v>
      </c>
      <c r="E6" s="270">
        <f>D6-C6</f>
        <v>-2.4056528205128274</v>
      </c>
      <c r="F6" s="146"/>
      <c r="G6" s="146"/>
      <c r="H6" s="146"/>
      <c r="I6" s="146"/>
    </row>
    <row r="7" spans="1:9" ht="48">
      <c r="A7" s="146">
        <v>5</v>
      </c>
      <c r="B7" s="244" t="s">
        <v>187</v>
      </c>
      <c r="C7" s="242">
        <f>'Old Cost'!I26</f>
        <v>69.423052820512822</v>
      </c>
      <c r="D7" s="242">
        <f>'Old Cost'!J26</f>
        <v>59</v>
      </c>
      <c r="E7" s="270">
        <f>D7-C7</f>
        <v>-10.423052820512822</v>
      </c>
      <c r="F7" s="146"/>
      <c r="G7" s="146"/>
      <c r="H7" s="146"/>
      <c r="I7" s="146">
        <v>173</v>
      </c>
    </row>
    <row r="8" spans="1:9" ht="32">
      <c r="A8" s="146">
        <v>6</v>
      </c>
      <c r="B8" s="241" t="s">
        <v>6</v>
      </c>
      <c r="C8" s="242">
        <f>'Old Cost'!I35</f>
        <v>100.88678574994329</v>
      </c>
      <c r="D8" s="242">
        <f>'Old Cost'!J35</f>
        <v>99</v>
      </c>
      <c r="E8" s="270">
        <f>D8-C8</f>
        <v>-1.8867857499432859</v>
      </c>
      <c r="F8" s="146"/>
      <c r="G8" s="146"/>
      <c r="H8" s="146"/>
      <c r="I8" s="146"/>
    </row>
  </sheetData>
  <mergeCells count="2">
    <mergeCell ref="C1:E1"/>
    <mergeCell ref="F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F79CB7-2A42-4A10-8811-8F14559AB5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Cost Sheet</vt:lpstr>
      <vt:lpstr>Output Sheet</vt:lpstr>
      <vt:lpstr>Production Cost</vt:lpstr>
      <vt:lpstr>Whole Sale Prices</vt:lpstr>
      <vt:lpstr>Whole Sale Prices 2</vt:lpstr>
      <vt:lpstr>Master Data</vt:lpstr>
      <vt:lpstr>Vendor checklist</vt:lpstr>
      <vt:lpstr>Backend Calculation</vt:lpstr>
      <vt:lpstr>Logic &amp; Weights</vt:lpstr>
      <vt:lpstr>Old Cost</vt:lpstr>
      <vt:lpstr>New Cost</vt:lpstr>
      <vt:lpstr>Loss making products</vt:lpstr>
      <vt:lpstr>Delivery_Cost</vt:lpstr>
      <vt:lpstr>Labour_Cost</vt:lpstr>
      <vt:lpstr>Labour_Cost_Working</vt:lpstr>
      <vt:lpstr>Maruthi_Plastics_Packing_Material_Cost</vt:lpstr>
      <vt:lpstr>Masala_and_Blends_Costings</vt:lpstr>
      <vt:lpstr>No._Of_Units_Of_PM_Required_for_Selected_Retail_Packs</vt:lpstr>
      <vt:lpstr>Packaging_Cost</vt:lpstr>
      <vt:lpstr>Raw_Material_Cost</vt:lpstr>
      <vt:lpstr>Raw_Material_source_costs</vt:lpstr>
      <vt:lpstr>Size_in_grams</vt:lpstr>
      <vt:lpstr>Swiss_Pac_Packing_Material_Cost</vt:lpstr>
      <vt:lpstr>Vendor_Transport_Costs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Vijaikumar Kannan</dc:creator>
  <cp:lastModifiedBy>Microsoft Office User</cp:lastModifiedBy>
  <cp:lastPrinted>2024-06-27T08:09:49Z</cp:lastPrinted>
  <dcterms:created xsi:type="dcterms:W3CDTF">2021-05-23T13:27:25Z</dcterms:created>
  <dcterms:modified xsi:type="dcterms:W3CDTF">2026-05-28T08:39:05Z</dcterms:modified>
</cp:coreProperties>
</file>